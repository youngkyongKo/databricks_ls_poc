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077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6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<sst xmlns="http://schemas.openxmlformats.org/spreadsheetml/2006/main" count="662" uniqueCount="300">
  <si>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</si>
  <si>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</si>
  <si>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</si>
  <si>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</si>
  <si>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</si>
  <si>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</si>
  <si>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</si>
  <si>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</si>
  <si>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</si>
  <si>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</si>
  <si>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</si>
  <si>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</si>
  <si>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</si>
  <si>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</si>
  <si>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</si>
  <si>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</si>
  <si>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</si>
  <si>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</si>
  <si>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</si>
  <si>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</si>
  <si>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</si>
  <si>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</si>
  <si>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</si>
  <si>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</si>
  <si>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</si>
  <si>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</si>
  <si>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</si>
  <si>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</si>
  <si>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</si>
  <si>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</si>
  <si>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</si>
  <si>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</si>
  <si>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</si>
  <si>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</si>
  <si>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</si>
  <si>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</si>
  <si>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</si>
  <si>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</si>
  <si>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</si>
  <si>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</si>
  <si>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</si>
  <si>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</si>
  <si>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</si>
  <si>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</si>
  <si>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</si>
  <si>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</si>
  <si>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</si>
  <si>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</si>
  <si>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</si>
  <si>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</si>
  <si>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</si>
  <si>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</si>
  <si>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</si>
  <si>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</si>
  <si>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</si>
  <si>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</si>
  <si>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</si>
  <si>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</si>
  <si>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</si>
  <si>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</si>
  <si>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</si>
  <si>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</si>
  <si>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</si>
  <si>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</si>
  <si>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</si>
  <si>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</si>
  <si>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</si>
  <si>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</si>
  <si>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</si>
  <si>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</si>
  <si>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</si>
  <si>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</si>
  <si>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</si>
  <si>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</si>
  <si>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</si>
  <si>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</si>
  <si>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</si>
  <si>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</si>
  <si>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</si>
  <si>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</si>
  <si>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</si>
  <si>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</si>
  <si>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</si>
  <si>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</si>
  <si>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</si>
  <si>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</si>
  <si>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</si>
  <si>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</si>
  <si>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</si>
  <si>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</si>
  <si>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</si>
  <si>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</si>
  <si>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</si>
  <si>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</si>
  <si>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</si>
  <si>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</si>
  <si>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</si>
  <si>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</si>
  <si>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</si>
  <si>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</si>
  <si>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</si>
  <si>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</si>
  <si>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</si>
  <si>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</si>
  <si>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</si>
  <si>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</si>
  <si>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</si>
  <si>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</si>
  <si>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</si>
  <si>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</si>
  <si>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</si>
  <si>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</si>
  <si>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</si>
  <si>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</si>
  <si>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</si>
  <si>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</si>
  <si>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</si>
  <si>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</si>
  <si>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</si>
  <si>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</si>
  <si>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</si>
  <si>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</si>
  <si>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</si>
  <si>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</si>
  <si>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</si>
  <si>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</si>
  <si>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</si>
  <si>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</si>
  <si>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</si>
  <si>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</si>
  <si>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</si>
  <si>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</si>
  <si>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</si>
  <si>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</si>
  <si>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</si>
  <si>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</si>
  <si>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</si>
  <si>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</si>
  <si>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</si>
  <si>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</si>
  <si>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</si>
  <si>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</si>
  <si>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</si>
  <si>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</si>
  <si>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</si>
  <si>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</si>
  <si>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</si>
  <si>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</si>
  <si>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</si>
  <si>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</si>
  <si>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</si>
  <si>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</si>
  <si>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</si>
  <si>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</si>
  <si>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</si>
  <si>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</si>
  <si>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</si>
  <si>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BI Item 제조원가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</si>
  <si>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</si>
  <si>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</si>
  <si>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</si>
  <si>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</si>
  <si>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</si>
  <si>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</si>
  <si>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</si>
  <si>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</si>
  <si>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</si>
  <si>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</si>
  <si>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</si>
  <si>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</si>
  <si>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</si>
  <si>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</si>
  <si>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</si>
  <si>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</si>
  <si>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</si>
  <si>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</si>
  <si>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</si>
  <si>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</si>
  <si>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</si>
  <si>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</si>
  <si>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COST</t>
    <phoneticPr fontId="2" type="noConversion"/>
  </si>
  <si>
    <t>Object</t>
    <phoneticPr fontId="2" type="noConversion"/>
  </si>
  <si>
    <t>ECST_BI_MFG_COST_DETAILS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</si>
  <si>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</si>
  <si>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</si>
  <si>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</si>
  <si>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</si>
  <si>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</si>
  <si>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</si>
  <si>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</si>
  <si>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</si>
  <si>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</si>
  <si>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</si>
  <si>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</si>
  <si>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</si>
  <si>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VARCHAR2</t>
    <phoneticPr fontId="2" type="noConversion"/>
  </si>
  <si>
    <t>연월</t>
    <phoneticPr fontId="2" type="noConversion"/>
  </si>
  <si>
    <t>YYYYMM</t>
    <phoneticPr fontId="2" type="noConversion"/>
  </si>
  <si>
    <t>TO_YYYYMM</t>
    <phoneticPr fontId="2" type="noConversion"/>
  </si>
  <si>
    <t>Field</t>
    <phoneticPr fontId="2" type="noConversion"/>
  </si>
  <si>
    <t>YYYYMM</t>
  </si>
  <si>
    <t>NVARCHAR</t>
  </si>
  <si>
    <t>Y</t>
  </si>
  <si>
    <t>년월</t>
  </si>
  <si>
    <t>LOCATION_CODE</t>
  </si>
  <si>
    <t>Location 코드</t>
  </si>
  <si>
    <t>ORGANIZATION_ID</t>
  </si>
  <si>
    <t>FLOAT</t>
  </si>
  <si>
    <t>조직 ID</t>
  </si>
  <si>
    <t>NUMBER</t>
  </si>
  <si>
    <t>TRANSACTION_ID</t>
  </si>
  <si>
    <t>트랜잭션 ID</t>
  </si>
  <si>
    <t>TRANSACTION_DATE</t>
  </si>
  <si>
    <t>DATETIME</t>
  </si>
  <si>
    <t>트랜잭션 일자</t>
  </si>
  <si>
    <t>DATE</t>
  </si>
  <si>
    <t>MAKE_OR_BUY</t>
  </si>
  <si>
    <t>생산, 구매 구분</t>
  </si>
  <si>
    <t>SOURCE_NUMBER</t>
  </si>
  <si>
    <t>원천소스 번호</t>
  </si>
  <si>
    <t>W/O or Shipment 번호</t>
  </si>
  <si>
    <t>INVENTORY_ITEM_ID</t>
  </si>
  <si>
    <t>아이템ID</t>
  </si>
  <si>
    <t>MFG_QTY</t>
  </si>
  <si>
    <t>수량</t>
  </si>
  <si>
    <t>MFG_AMOUNT</t>
  </si>
  <si>
    <t>금액</t>
  </si>
  <si>
    <t>M_IMPORT_COST</t>
  </si>
  <si>
    <t>Import 재료비</t>
  </si>
  <si>
    <t>M_DOMESTIC_COST</t>
  </si>
  <si>
    <t>Domestic 재료비</t>
  </si>
  <si>
    <t>P_LABOR_COST</t>
  </si>
  <si>
    <t>노무비</t>
  </si>
  <si>
    <t>P_EXPENSE_COST</t>
  </si>
  <si>
    <t>경비</t>
  </si>
  <si>
    <t>DEPT_CODE</t>
  </si>
  <si>
    <t>부서코드</t>
  </si>
  <si>
    <t>DEPT_CLASS_DESC</t>
  </si>
  <si>
    <t>부서 CLASS명</t>
  </si>
  <si>
    <t>ATTRIBUTE1</t>
  </si>
  <si>
    <t>여유필드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</si>
  <si>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</si>
  <si>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</si>
  <si>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</si>
  <si>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</si>
  <si>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</si>
  <si>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</si>
  <si>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</si>
  <si>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</si>
  <si>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</si>
  <si>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CREATION_DATE</t>
  </si>
  <si>
    <t>생성일</t>
  </si>
  <si>
    <t>CREATED_BY</t>
  </si>
  <si>
    <t>생성자</t>
  </si>
  <si>
    <t>LAST_UPDATE_DATE</t>
  </si>
  <si>
    <t>최종수정일</t>
  </si>
  <si>
    <t>LAST_UPDATED_BY</t>
  </si>
  <si>
    <t>최종수정자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</si>
  <si>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</si>
  <si>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</si>
  <si>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</si>
  <si>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</si>
  <si>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</si>
  <si>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</si>
  <si>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</si>
  <si>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</si>
  <si>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</si>
  <si>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</si>
  <si>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</si>
  <si>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</si>
  <si>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</si>
  <si>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</si>
  <si>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</si>
  <si>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</si>
  <si>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</si>
  <si>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</si>
  <si>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</si>
  <si>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</si>
  <si>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</si>
  <si>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</si>
  <si>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</si>
  <si>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</si>
  <si>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</si>
  <si>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</si>
  <si>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</si>
  <si>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SELECT YYYYMM,
       LOCATION_CODE,
       ORGANIZATION_ID,
       TRANSACTION_ID,
       TRANSACTION_DATE,
       MAKE_OR_BUY,
       SOURCE_NUMBER,
       INVENTORY_ITEM_ID,
       MFG_QTY,
       MFG_AMOUNT,
       M_IMPORT_COST,
       M_DOMESTIC_COST,
       P_LABOR_COST,
       P_EXPENSE_COST,
       DEPT_CODE,
       DEPT_CLASS_DESC,
       ATTRIBUTE1,
       ATTRIBUTE2,
       ATTRIBUTE3,
       ATTRIBUTE4,
       ATTRIBUTE5,
       ATTRIBUTE6,
       ATTRIBUTE7,
       ATTRIBUTE8,
       ATTRIBUTE9,
       ATTRIBUTE10,
       CREATION_DATE,
       CREATED_BY,
       LAST_UPDATE_DATE,
       LAST_UPDATED_BY
  FROM ECST_BI_MFG_COST_DETAILS
 WHERE YYYYMM BETWEEN nvl(&amp;from_yyyymm,to_char(add_months(trunc(sysdate-1,'mm'),-1),'YYYYMM')) AND nvl(&amp;to_yyyymm,to_char(add_months(trunc(sysdate),-1),'yyyymm'))</t>
    <phoneticPr fontId="2" type="noConversion"/>
  </si>
  <si>
    <t>ECST_BI_MFG_COST_DETAILS</t>
    <phoneticPr fontId="2" type="noConversion"/>
  </si>
  <si>
    <t>IF_SRD_DPS_ERP_0077</t>
    <phoneticPr fontId="2" type="noConversion"/>
  </si>
  <si>
    <t>EAI시스템</t>
    <phoneticPr fontId="4" type="noConversion"/>
  </si>
  <si>
    <t>2022.09.16</t>
    <phoneticPr fontId="2" type="noConversion"/>
  </si>
  <si>
    <t>박현아</t>
    <phoneticPr fontId="2" type="noConversion"/>
  </si>
  <si>
    <t>EAI 사용 쿼리 추가</t>
    <phoneticPr fontId="4" type="noConversion"/>
  </si>
  <si>
    <t>TEXT</t>
    <phoneticPr fontId="2" type="noConversion"/>
  </si>
  <si>
    <t>SQL Query
(EAI 사용)</t>
    <phoneticPr fontId="2" type="noConversion"/>
  </si>
  <si>
    <t>SELECT /*IF_SRD_DPS_ERP_0077 BI Item 제조원가(ECST_BI_MFG_COST_DETAILS)*/
 YYYYMM, 
 LOCATION_CODE, 
 TO_CHAR(ORGANIZATION_ID) ORGANIZATION_ID, 
 TO_CHAR(TRANSACTION_ID) TRANSACTION_ID, 
 TRANSACTION_DATE, 
 TO_CHAR(MAKE_OR_BUY) MAKE_OR_BUY, 
 SOURCE_NUMBER, 
 TO_CHAR(INVENTORY_ITEM_ID) INVENTORY_ITEM_ID, 
 TO_CHAR(MFG_QTY) MFG_QTY, 
 TO_CHAR(MFG_AMOUNT) MFG_AMOUNT, 
 TO_CHAR(M_IMPORT_COST) M_IMPORT_COST, 
 TO_CHAR(M_DOMESTIC_COST) M_DOMESTIC_COST, 
 TO_CHAR(P_LABOR_COST) P_LABOR_COST, 
 TO_CHAR(P_EXPENSE_COST) P_EXPENSE_COST, 
 DEPT_CODE, 
 DEPT_CLASS_DESC, 
 ATTRIBUTE1, 
 ATTRIBUTE2, 
 ATTRIBUTE3, 
 ATTRIBUTE4, 
 ATTRIBUTE5, 
 ATTRIBUTE6, 
 ATTRIBUTE7, 
 ATTRIBUTE8, 
 ATTRIBUTE9, 
 ATTRIBUTE10, 
 CREATION_DATE, 
 TO_CHAR(CREATED_BY) CREATED_BY, 
 LAST_UPDATE_DATE, 
 TO_CHAR(LAST_UPDATED_BY) LAST_UPDATED_BY
FROM APPS.ECST_BI_MFG_COST_DETAILS
WHERE YYYYMM BETWEEN nvl(?,to_char(add_months(trunc(sysdate-1,'mm'),-1),'YYYYMM')) AND nvl(?,to_char(add_months(trunc(sysdate),-1),'yyyymm'))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</si>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</sst>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8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9" fillId="0" borderId="32" xfId="0" applyFont="1" applyBorder="1" applyAlignment="1">
      <alignment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2" borderId="32" xfId="0" quotePrefix="1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vertical="center" wrapText="1"/>
    </xf>
    <xf numFmtId="3" fontId="9" fillId="2" borderId="32" xfId="0" quotePrefix="1" applyNumberFormat="1" applyFont="1" applyFill="1" applyBorder="1" applyAlignment="1">
      <alignment horizontal="left" vertical="center" wrapText="1"/>
    </xf>
    <xf numFmtId="0" fontId="9" fillId="2" borderId="32" xfId="0" quotePrefix="1" applyFont="1" applyFill="1" applyBorder="1" applyAlignment="1">
      <alignment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vertical="center" wrapText="1"/>
    </xf>
    <xf numFmtId="0" fontId="9" fillId="0" borderId="32" xfId="0" applyFont="1" applyBorder="1" applyAlignment="1">
      <alignment horizontal="left" vertical="center" wrapText="1"/>
    </xf>
    <xf numFmtId="0" fontId="0" fillId="0" borderId="32" xfId="0" applyBorder="1" applyAlignment="1"/>
    <xf numFmtId="0" fontId="9" fillId="0" borderId="34" xfId="0" applyFont="1" applyBorder="1">
      <alignment vertical="center"/>
    </xf>
    <xf numFmtId="0" fontId="24" fillId="8" borderId="32" xfId="6" applyFont="1" applyFill="1" applyBorder="1" applyAlignment="1">
      <alignment vertical="center"/>
    </xf>
    <xf numFmtId="0" fontId="25" fillId="0" borderId="32" xfId="6" applyFont="1" applyBorder="1" applyAlignment="1">
      <alignment horizontal="left" vertical="center"/>
    </xf>
    <xf numFmtId="0" fontId="28" fillId="0" borderId="32" xfId="0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0" borderId="32" xfId="0" applyFont="1" applyBorder="1">
      <alignment vertical="center"/>
    </xf>
    <xf numFmtId="0" fontId="0" fillId="0" borderId="32" xfId="0" applyBorder="1" applyAlignment="1">
      <alignment horizontal="center"/>
    </xf>
    <xf numFmtId="0" fontId="9" fillId="0" borderId="32" xfId="0" applyFont="1" applyBorder="1">
      <alignment vertical="center"/>
    </xf>
    <xf numFmtId="0" fontId="12" fillId="2" borderId="32" xfId="1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right" vertical="center"/>
    </xf>
    <xf numFmtId="1" fontId="0" fillId="0" borderId="32" xfId="0" applyNumberFormat="1" applyBorder="1" applyAlignment="1"/>
    <xf numFmtId="0" fontId="29" fillId="0" borderId="32" xfId="0" applyFont="1" applyBorder="1">
      <alignment vertical="center"/>
    </xf>
    <xf numFmtId="0" fontId="25" fillId="0" borderId="32" xfId="6" applyFont="1" applyBorder="1" applyAlignment="1">
      <alignment horizontal="right" vertical="center"/>
    </xf>
    <xf numFmtId="0" fontId="7" fillId="8" borderId="3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33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 wrapText="1"/>
    </xf>
    <xf numFmtId="0" fontId="14" fillId="2" borderId="16" xfId="5" applyFont="1" applyFill="1" applyBorder="1" applyAlignment="1">
      <alignment horizontal="left" vertical="center"/>
    </xf>
    <xf numFmtId="0" fontId="15" fillId="3" borderId="0" xfId="5" applyFont="1" applyFill="1" applyAlignment="1">
      <alignment vertical="center"/>
    </xf>
    <xf numFmtId="0" fontId="12" fillId="2" borderId="18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27" fillId="6" borderId="18" xfId="7" applyFont="1" applyFill="1" applyBorder="1" applyAlignment="1">
      <alignment horizontal="left" vertical="center" wrapText="1"/>
    </xf>
    <xf numFmtId="0" fontId="11" fillId="6" borderId="18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7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1" fillId="5" borderId="19" xfId="1" applyFont="1" applyFill="1" applyBorder="1" applyAlignment="1">
      <alignment horizontal="center" vertical="center" wrapText="1"/>
    </xf>
    <xf numFmtId="0" fontId="20" fillId="5" borderId="18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14" fontId="11" fillId="6" borderId="18" xfId="0" applyNumberFormat="1" applyFont="1" applyFill="1" applyBorder="1" applyAlignment="1">
      <alignment horizontal="left" vertical="center" wrapText="1"/>
    </xf>
    <xf numFmtId="0" fontId="21" fillId="5" borderId="22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24" xfId="1" applyFont="1" applyFill="1" applyBorder="1" applyAlignment="1">
      <alignment horizontal="left" vertical="center" wrapText="1"/>
    </xf>
    <xf numFmtId="0" fontId="10" fillId="6" borderId="19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37" xfId="1" applyFont="1" applyFill="1" applyBorder="1" applyAlignment="1">
      <alignment horizontal="left" vertical="top" wrapText="1"/>
    </xf>
    <xf numFmtId="0" fontId="12" fillId="6" borderId="34" xfId="1" applyFont="1" applyFill="1" applyBorder="1" applyAlignment="1">
      <alignment horizontal="left" vertical="top" wrapText="1"/>
    </xf>
    <xf numFmtId="0" fontId="12" fillId="6" borderId="38" xfId="1" applyFont="1" applyFill="1" applyBorder="1" applyAlignment="1">
      <alignment horizontal="left" vertical="top" wrapText="1"/>
    </xf>
    <xf numFmtId="0" fontId="12" fillId="5" borderId="35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33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3" fillId="5" borderId="39" xfId="1" applyFont="1" applyFill="1" applyBorder="1" applyAlignment="1">
      <alignment horizontal="center"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10" fillId="2" borderId="39" xfId="1" applyFont="1" applyFill="1" applyBorder="1" applyAlignment="1">
      <alignment horizontal="center" vertical="center" wrapText="1"/>
    </xf>
    <xf numFmtId="0" fontId="8" fillId="6" borderId="33" xfId="1" applyFont="1" applyFill="1" applyBorder="1" applyAlignment="1">
      <alignment horizontal="left" vertical="center" wrapText="1"/>
    </xf>
    <xf numFmtId="0" fontId="21" fillId="5" borderId="40" xfId="1" applyFont="1" applyFill="1" applyBorder="1" applyAlignment="1">
      <alignment horizontal="center" vertical="center" wrapText="1"/>
    </xf>
    <xf numFmtId="0" fontId="12" fillId="6" borderId="40" xfId="1" applyFont="1" applyFill="1" applyBorder="1" applyAlignment="1">
      <alignment horizontal="left" vertical="center" wrapText="1"/>
    </xf>
    <xf numFmtId="0" fontId="10" fillId="6" borderId="40" xfId="1" applyFont="1" applyFill="1" applyBorder="1" applyAlignment="1">
      <alignment horizontal="center" vertical="center" wrapText="1"/>
    </xf>
    <xf numFmtId="0" fontId="12" fillId="5" borderId="41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C11" sqref="B11:L16"/>
    </sheetView>
  </sheetViews>
  <sheetFormatPr defaultColWidth="9" defaultRowHeight="16.5"/>
  <cols>
    <col min="1" max="16384" width="9" style="8"/>
  </cols>
  <sheetData>
    <row r="1" spans="1:24" ht="26.2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9"/>
      <c r="B5" s="70" t="s">
        <v>4</v>
      </c>
      <c r="C5" s="71"/>
      <c r="D5" s="72" t="s">
        <v>5</v>
      </c>
      <c r="E5" s="71"/>
      <c r="F5" s="72" t="s">
        <v>1</v>
      </c>
      <c r="G5" s="73"/>
      <c r="H5" s="73"/>
      <c r="I5" s="73"/>
      <c r="J5" s="71"/>
      <c r="K5" s="72" t="s">
        <v>6</v>
      </c>
      <c r="L5" s="74"/>
      <c r="M5" s="9"/>
      <c r="N5" s="70" t="s">
        <v>4</v>
      </c>
      <c r="O5" s="71"/>
      <c r="P5" s="72" t="s">
        <v>5</v>
      </c>
      <c r="Q5" s="71"/>
      <c r="R5" s="72" t="s">
        <v>1</v>
      </c>
      <c r="S5" s="73"/>
      <c r="T5" s="73"/>
      <c r="U5" s="73"/>
      <c r="V5" s="71"/>
      <c r="W5" s="72" t="s">
        <v>6</v>
      </c>
      <c r="X5" s="74"/>
    </row>
    <row r="6" spans="1:24">
      <c r="A6" s="9"/>
      <c r="B6" s="60"/>
      <c r="C6" s="61"/>
      <c r="D6" s="62"/>
      <c r="E6" s="61"/>
      <c r="F6" s="68" t="s">
        <v>7</v>
      </c>
      <c r="G6" s="76"/>
      <c r="H6" s="76"/>
      <c r="I6" s="76"/>
      <c r="J6" s="65"/>
      <c r="K6" s="62">
        <v>0.1</v>
      </c>
      <c r="L6" s="69"/>
      <c r="M6" s="9"/>
      <c r="N6" s="60" t="s">
        <v>8</v>
      </c>
      <c r="O6" s="61"/>
      <c r="P6" s="62" t="s">
        <v>9</v>
      </c>
      <c r="Q6" s="61"/>
      <c r="R6" s="68" t="s">
        <v>7</v>
      </c>
      <c r="S6" s="76"/>
      <c r="T6" s="76"/>
      <c r="U6" s="76"/>
      <c r="V6" s="65"/>
      <c r="W6" s="62">
        <v>0.1</v>
      </c>
      <c r="X6" s="69"/>
    </row>
    <row r="7" spans="1:24">
      <c r="A7" s="9"/>
      <c r="B7" s="60"/>
      <c r="C7" s="61"/>
      <c r="D7" s="62"/>
      <c r="E7" s="61"/>
      <c r="F7" s="68"/>
      <c r="G7" s="76"/>
      <c r="H7" s="76"/>
      <c r="I7" s="76"/>
      <c r="J7" s="65"/>
      <c r="K7" s="62"/>
      <c r="L7" s="69"/>
      <c r="M7" s="9"/>
      <c r="N7" s="60"/>
      <c r="O7" s="61"/>
      <c r="P7" s="62"/>
      <c r="Q7" s="61"/>
      <c r="R7" s="63"/>
      <c r="S7" s="76"/>
      <c r="T7" s="76"/>
      <c r="U7" s="76"/>
      <c r="V7" s="65"/>
      <c r="W7" s="62"/>
      <c r="X7" s="69"/>
    </row>
    <row r="8" spans="1:24">
      <c r="A8" s="9"/>
      <c r="B8" s="60"/>
      <c r="C8" s="61"/>
      <c r="D8" s="62"/>
      <c r="E8" s="61"/>
      <c r="F8" s="63"/>
      <c r="G8" s="76"/>
      <c r="H8" s="76"/>
      <c r="I8" s="76"/>
      <c r="J8" s="65"/>
      <c r="K8" s="66"/>
      <c r="L8" s="67"/>
      <c r="M8" s="9"/>
      <c r="N8" s="60"/>
      <c r="O8" s="61"/>
      <c r="P8" s="62"/>
      <c r="Q8" s="61"/>
      <c r="R8" s="63"/>
      <c r="S8" s="76"/>
      <c r="T8" s="76"/>
      <c r="U8" s="76"/>
      <c r="V8" s="65"/>
      <c r="W8" s="66"/>
      <c r="X8" s="67"/>
    </row>
    <row r="9" spans="1:24">
      <c r="A9" s="9"/>
      <c r="B9" s="60"/>
      <c r="C9" s="61"/>
      <c r="D9" s="62"/>
      <c r="E9" s="61"/>
      <c r="F9" s="63"/>
      <c r="G9" s="76"/>
      <c r="H9" s="76"/>
      <c r="I9" s="76"/>
      <c r="J9" s="65"/>
      <c r="K9" s="66"/>
      <c r="L9" s="67"/>
      <c r="M9" s="9"/>
      <c r="N9" s="60"/>
      <c r="O9" s="61"/>
      <c r="P9" s="62"/>
      <c r="Q9" s="61"/>
      <c r="R9" s="63"/>
      <c r="S9" s="76"/>
      <c r="T9" s="76"/>
      <c r="U9" s="76"/>
      <c r="V9" s="65"/>
      <c r="W9" s="66"/>
      <c r="X9" s="67"/>
    </row>
    <row r="11" spans="1:24" ht="18" thickBot="1">
      <c r="B11" s="11" t="s">
        <v>288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>
      <c r="B12" s="70" t="s">
        <v>4</v>
      </c>
      <c r="C12" s="71"/>
      <c r="D12" s="72" t="s">
        <v>5</v>
      </c>
      <c r="E12" s="71"/>
      <c r="F12" s="72" t="s">
        <v>1</v>
      </c>
      <c r="G12" s="73"/>
      <c r="H12" s="73"/>
      <c r="I12" s="73"/>
      <c r="J12" s="71"/>
      <c r="K12" s="72" t="s">
        <v>6</v>
      </c>
      <c r="L12" s="74"/>
    </row>
    <row r="13" spans="1:24">
      <c r="B13" s="60" t="s">
        <v>289</v>
      </c>
      <c r="C13" s="61"/>
      <c r="D13" s="62" t="s">
        <v>290</v>
      </c>
      <c r="E13" s="61"/>
      <c r="F13" s="75" t="s">
        <v>291</v>
      </c>
      <c r="G13" s="64"/>
      <c r="H13" s="64"/>
      <c r="I13" s="64"/>
      <c r="J13" s="65"/>
      <c r="K13" s="62">
        <v>0.2</v>
      </c>
      <c r="L13" s="69"/>
    </row>
    <row r="14" spans="1:24">
      <c r="B14" s="60"/>
      <c r="C14" s="61"/>
      <c r="D14" s="62"/>
      <c r="E14" s="61"/>
      <c r="F14" s="68"/>
      <c r="G14" s="64"/>
      <c r="H14" s="64"/>
      <c r="I14" s="64"/>
      <c r="J14" s="65"/>
      <c r="K14" s="62"/>
      <c r="L14" s="69"/>
    </row>
    <row r="15" spans="1:24">
      <c r="B15" s="60"/>
      <c r="C15" s="61"/>
      <c r="D15" s="62"/>
      <c r="E15" s="61"/>
      <c r="F15" s="63"/>
      <c r="G15" s="64"/>
      <c r="H15" s="64"/>
      <c r="I15" s="64"/>
      <c r="J15" s="65"/>
      <c r="K15" s="66"/>
      <c r="L15" s="67"/>
    </row>
    <row r="16" spans="1:24">
      <c r="B16" s="60"/>
      <c r="C16" s="61"/>
      <c r="D16" s="62"/>
      <c r="E16" s="61"/>
      <c r="F16" s="63"/>
      <c r="G16" s="64"/>
      <c r="H16" s="64"/>
      <c r="I16" s="64"/>
      <c r="J16" s="65"/>
      <c r="K16" s="66"/>
      <c r="L16" s="67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>
      <c r="B6" s="17" t="s">
        <v>36</v>
      </c>
      <c r="C6" s="17" t="s">
        <v>37</v>
      </c>
      <c r="E6" s="18" t="s">
        <v>38</v>
      </c>
      <c r="I6" s="18" t="s">
        <v>39</v>
      </c>
    </row>
    <row r="7" spans="2:13">
      <c r="B7" s="17" t="s">
        <v>40</v>
      </c>
      <c r="C7" s="17" t="s">
        <v>41</v>
      </c>
      <c r="I7" s="18" t="s">
        <v>42</v>
      </c>
    </row>
    <row r="8" spans="2:13">
      <c r="B8" s="17" t="s">
        <v>43</v>
      </c>
      <c r="C8" s="17" t="s">
        <v>44</v>
      </c>
      <c r="I8" s="18" t="s">
        <v>45</v>
      </c>
    </row>
    <row r="9" spans="2:13">
      <c r="B9" s="17" t="s">
        <v>46</v>
      </c>
      <c r="C9" s="17" t="s">
        <v>47</v>
      </c>
      <c r="I9" s="18" t="s">
        <v>48</v>
      </c>
    </row>
    <row r="10" spans="2:13">
      <c r="B10" s="17" t="s">
        <v>49</v>
      </c>
      <c r="C10" s="17" t="s">
        <v>50</v>
      </c>
      <c r="I10" s="18" t="s">
        <v>51</v>
      </c>
    </row>
    <row r="11" spans="2:13">
      <c r="B11" s="17" t="s">
        <v>52</v>
      </c>
      <c r="C11" s="17" t="s">
        <v>53</v>
      </c>
    </row>
    <row r="12" spans="2:13">
      <c r="B12" s="17" t="s">
        <v>54</v>
      </c>
      <c r="C12" s="17" t="s">
        <v>55</v>
      </c>
    </row>
    <row r="13" spans="2:13">
      <c r="B13" s="17" t="s">
        <v>56</v>
      </c>
      <c r="C13" s="17" t="s">
        <v>57</v>
      </c>
    </row>
    <row r="14" spans="2:13">
      <c r="B14" s="17" t="s">
        <v>58</v>
      </c>
      <c r="C14" s="17" t="s">
        <v>59</v>
      </c>
    </row>
    <row r="15" spans="2:13">
      <c r="B15" s="17" t="s">
        <v>60</v>
      </c>
      <c r="C15" s="17" t="s">
        <v>61</v>
      </c>
    </row>
    <row r="16" spans="2:13">
      <c r="B16" s="17" t="s">
        <v>62</v>
      </c>
      <c r="C16" s="17" t="s">
        <v>63</v>
      </c>
    </row>
    <row r="17" spans="2:3">
      <c r="B17" s="17" t="s">
        <v>64</v>
      </c>
      <c r="C17" s="17" t="s">
        <v>65</v>
      </c>
    </row>
    <row r="18" spans="2:3">
      <c r="B18" s="17" t="s">
        <v>66</v>
      </c>
      <c r="C18" s="17" t="s">
        <v>67</v>
      </c>
    </row>
    <row r="19" spans="2:3">
      <c r="B19" s="17" t="s">
        <v>68</v>
      </c>
      <c r="C19" s="17" t="s">
        <v>69</v>
      </c>
    </row>
    <row r="20" spans="2:3">
      <c r="B20" s="17" t="s">
        <v>70</v>
      </c>
      <c r="C20" s="17" t="s">
        <v>71</v>
      </c>
    </row>
    <row r="21" spans="2:3">
      <c r="B21" s="17" t="s">
        <v>72</v>
      </c>
      <c r="C21" s="17" t="s">
        <v>73</v>
      </c>
    </row>
    <row r="22" spans="2:3">
      <c r="B22" s="17" t="s">
        <v>74</v>
      </c>
      <c r="C22" s="17" t="s">
        <v>75</v>
      </c>
    </row>
    <row r="23" spans="2:3">
      <c r="B23" s="17" t="s">
        <v>76</v>
      </c>
      <c r="C23" s="19" t="s">
        <v>77</v>
      </c>
    </row>
    <row r="24" spans="2:3">
      <c r="B24" s="17" t="s">
        <v>78</v>
      </c>
      <c r="C24" s="17" t="s">
        <v>79</v>
      </c>
    </row>
    <row r="25" spans="2:3">
      <c r="B25" s="17" t="s">
        <v>80</v>
      </c>
      <c r="C25" s="17" t="s">
        <v>63</v>
      </c>
    </row>
    <row r="26" spans="2:3">
      <c r="B26" s="17" t="s">
        <v>81</v>
      </c>
      <c r="C26" s="17" t="s">
        <v>82</v>
      </c>
    </row>
    <row r="27" spans="2:3">
      <c r="B27" s="17" t="s">
        <v>83</v>
      </c>
      <c r="C27" s="17" t="s">
        <v>84</v>
      </c>
    </row>
    <row r="28" spans="2:3">
      <c r="B28" s="17" t="s">
        <v>85</v>
      </c>
      <c r="C28" s="17" t="s">
        <v>86</v>
      </c>
    </row>
    <row r="29" spans="2:3">
      <c r="B29" s="17" t="s">
        <v>87</v>
      </c>
      <c r="C29" s="17" t="s">
        <v>88</v>
      </c>
    </row>
    <row r="30" spans="2:3">
      <c r="B30" s="17" t="s">
        <v>89</v>
      </c>
      <c r="C30" s="17" t="s">
        <v>90</v>
      </c>
    </row>
    <row r="31" spans="2:3">
      <c r="B31" s="17" t="s">
        <v>91</v>
      </c>
      <c r="C31" s="17" t="s">
        <v>92</v>
      </c>
    </row>
    <row r="32" spans="2:3">
      <c r="B32" s="17" t="s">
        <v>93</v>
      </c>
      <c r="C32" s="17" t="s">
        <v>63</v>
      </c>
    </row>
    <row r="33" spans="2:3">
      <c r="B33" s="17" t="s">
        <v>94</v>
      </c>
      <c r="C33" s="17" t="s">
        <v>95</v>
      </c>
    </row>
    <row r="34" spans="2:3">
      <c r="B34" s="17" t="s">
        <v>96</v>
      </c>
      <c r="C34" s="17" t="s">
        <v>63</v>
      </c>
    </row>
    <row r="35" spans="2:3">
      <c r="B35" s="17" t="s">
        <v>97</v>
      </c>
      <c r="C35" s="17" t="s">
        <v>98</v>
      </c>
    </row>
    <row r="36" spans="2:3">
      <c r="B36" s="20" t="s">
        <v>99</v>
      </c>
      <c r="C36" s="17" t="s">
        <v>100</v>
      </c>
    </row>
    <row r="37" spans="2:3">
      <c r="B37" s="17" t="s">
        <v>101</v>
      </c>
      <c r="C37" s="17" t="s">
        <v>63</v>
      </c>
    </row>
    <row r="38" spans="2:3">
      <c r="B38" s="17" t="s">
        <v>102</v>
      </c>
      <c r="C38" s="17" t="s">
        <v>63</v>
      </c>
    </row>
    <row r="39" spans="2:3">
      <c r="B39" s="17" t="s">
        <v>103</v>
      </c>
      <c r="C39" s="17" t="s">
        <v>104</v>
      </c>
    </row>
    <row r="40" spans="2:3">
      <c r="B40" s="17" t="s">
        <v>105</v>
      </c>
      <c r="C40" s="17" t="s">
        <v>105</v>
      </c>
    </row>
    <row r="41" spans="2:3">
      <c r="B41" s="20" t="s">
        <v>106</v>
      </c>
      <c r="C41" s="17" t="s">
        <v>63</v>
      </c>
    </row>
    <row r="42" spans="2:3">
      <c r="B42" s="20" t="s">
        <v>107</v>
      </c>
      <c r="C42" s="17" t="s">
        <v>108</v>
      </c>
    </row>
    <row r="43" spans="2:3">
      <c r="B43" s="17" t="s">
        <v>109</v>
      </c>
      <c r="C43" s="17" t="s">
        <v>110</v>
      </c>
    </row>
    <row r="44" spans="2:3">
      <c r="B44" s="17" t="s">
        <v>111</v>
      </c>
      <c r="C44" s="17" t="s">
        <v>112</v>
      </c>
    </row>
    <row r="45" spans="2:3">
      <c r="B45" s="17" t="s">
        <v>113</v>
      </c>
      <c r="C45" s="17" t="s">
        <v>63</v>
      </c>
    </row>
    <row r="46" spans="2:3">
      <c r="B46" s="17" t="s">
        <v>114</v>
      </c>
      <c r="C46" s="17" t="s">
        <v>115</v>
      </c>
    </row>
    <row r="47" spans="2:3">
      <c r="B47" s="17" t="s">
        <v>116</v>
      </c>
      <c r="C47" s="17" t="s">
        <v>117</v>
      </c>
    </row>
    <row r="48" spans="2:3">
      <c r="B48" s="17" t="s">
        <v>118</v>
      </c>
      <c r="C48" s="17" t="s">
        <v>63</v>
      </c>
    </row>
    <row r="49" spans="2:3">
      <c r="B49" s="20" t="s">
        <v>119</v>
      </c>
      <c r="C49" s="17" t="s">
        <v>120</v>
      </c>
    </row>
    <row r="50" spans="2:3">
      <c r="B50" s="17" t="s">
        <v>121</v>
      </c>
      <c r="C50" s="17" t="s">
        <v>63</v>
      </c>
    </row>
    <row r="51" spans="2:3">
      <c r="B51" s="17" t="s">
        <v>122</v>
      </c>
      <c r="C51" s="17" t="s">
        <v>123</v>
      </c>
    </row>
    <row r="52" spans="2:3">
      <c r="B52" s="17" t="s">
        <v>124</v>
      </c>
      <c r="C52" s="17" t="s">
        <v>63</v>
      </c>
    </row>
    <row r="53" spans="2:3">
      <c r="B53" s="17" t="s">
        <v>125</v>
      </c>
      <c r="C53" s="17" t="s">
        <v>126</v>
      </c>
    </row>
    <row r="54" spans="2:3">
      <c r="B54" s="17" t="s">
        <v>127</v>
      </c>
      <c r="C54" s="17" t="s">
        <v>128</v>
      </c>
    </row>
    <row r="55" spans="2:3">
      <c r="B55" s="17" t="s">
        <v>129</v>
      </c>
      <c r="C55" s="17" t="s">
        <v>63</v>
      </c>
    </row>
    <row r="56" spans="2:3">
      <c r="B56" s="17" t="s">
        <v>130</v>
      </c>
      <c r="C56" s="17" t="s">
        <v>63</v>
      </c>
    </row>
    <row r="57" spans="2:3">
      <c r="B57" s="17" t="s">
        <v>131</v>
      </c>
      <c r="C57" s="17" t="s">
        <v>132</v>
      </c>
    </row>
    <row r="58" spans="2:3">
      <c r="B58" s="17" t="s">
        <v>133</v>
      </c>
      <c r="C58" s="17" t="s">
        <v>134</v>
      </c>
    </row>
    <row r="59" spans="2:3">
      <c r="B59" s="17" t="s">
        <v>135</v>
      </c>
      <c r="C59" s="17" t="s">
        <v>77</v>
      </c>
    </row>
    <row r="60" spans="2:3">
      <c r="B60" s="17" t="s">
        <v>136</v>
      </c>
      <c r="C60" s="17" t="s">
        <v>137</v>
      </c>
    </row>
    <row r="61" spans="2:3">
      <c r="B61" s="17" t="s">
        <v>138</v>
      </c>
      <c r="C61" s="17" t="s">
        <v>139</v>
      </c>
    </row>
    <row r="62" spans="2:3">
      <c r="B62" s="17" t="s">
        <v>140</v>
      </c>
      <c r="C62" s="17" t="s">
        <v>141</v>
      </c>
    </row>
    <row r="63" spans="2:3">
      <c r="B63" s="17" t="s">
        <v>142</v>
      </c>
      <c r="C63" s="17" t="s">
        <v>143</v>
      </c>
    </row>
    <row r="64" spans="2:3">
      <c r="B64" s="17" t="s">
        <v>144</v>
      </c>
      <c r="C64" s="17" t="s">
        <v>144</v>
      </c>
    </row>
    <row r="65" spans="2:3">
      <c r="B65" s="17" t="s">
        <v>145</v>
      </c>
      <c r="C65" s="17" t="s">
        <v>146</v>
      </c>
    </row>
    <row r="66" spans="2:3">
      <c r="B66" s="17" t="s">
        <v>147</v>
      </c>
      <c r="C66" s="17" t="s">
        <v>148</v>
      </c>
    </row>
    <row r="67" spans="2:3">
      <c r="B67" s="17" t="s">
        <v>149</v>
      </c>
      <c r="C67" s="17" t="s">
        <v>63</v>
      </c>
    </row>
    <row r="68" spans="2:3">
      <c r="B68" s="17" t="s">
        <v>150</v>
      </c>
      <c r="C68" s="17" t="s">
        <v>151</v>
      </c>
    </row>
    <row r="69" spans="2:3">
      <c r="B69" s="17" t="s">
        <v>152</v>
      </c>
      <c r="C69" s="17" t="s">
        <v>153</v>
      </c>
    </row>
    <row r="70" spans="2: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8"/>
  <sheetViews>
    <sheetView tabSelected="1" topLeftCell="A19" zoomScale="85" zoomScaleNormal="85" workbookViewId="0">
      <selection activeCell="E40" sqref="E40"/>
    </sheetView>
  </sheetViews>
  <sheetFormatPr defaultColWidth="9" defaultRowHeight="16.5"/>
  <cols>
    <col min="1" max="1" width="3" style="3" customWidth="1"/>
    <col min="2" max="2" width="8.125" style="3" hidden="1" customWidth="1"/>
    <col min="3" max="3" width="29" style="3" customWidth="1"/>
    <col min="4" max="4" width="4.375" style="3" bestFit="1" customWidth="1"/>
    <col min="5" max="5" width="24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2.5" style="3" customWidth="1"/>
    <col min="11" max="11" width="17.25" style="3" customWidth="1"/>
    <col min="12" max="12" width="6" style="3" customWidth="1"/>
    <col min="13" max="13" width="6" style="3" hidden="1" customWidth="1"/>
    <col min="14" max="14" width="29" style="3" customWidth="1"/>
    <col min="15" max="15" width="4.375" style="3" bestFit="1" customWidth="1"/>
    <col min="16" max="16" width="24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2.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>
      <c r="C2" s="111" t="s">
        <v>154</v>
      </c>
      <c r="D2" s="112"/>
      <c r="E2" s="112"/>
      <c r="F2" s="112"/>
      <c r="G2" s="112"/>
      <c r="H2" s="112"/>
      <c r="I2" s="112"/>
      <c r="J2" s="112"/>
      <c r="K2" s="112"/>
      <c r="L2" s="112"/>
      <c r="M2" s="137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 spans="3:24" ht="16.5" customHeight="1">
      <c r="C3" s="25" t="s">
        <v>155</v>
      </c>
      <c r="D3" s="92" t="s">
        <v>287</v>
      </c>
      <c r="E3" s="93"/>
      <c r="F3" s="93"/>
      <c r="G3" s="93"/>
      <c r="H3" s="94"/>
      <c r="I3" s="113" t="s">
        <v>156</v>
      </c>
      <c r="J3" s="113"/>
      <c r="K3" s="97" t="s">
        <v>157</v>
      </c>
      <c r="L3" s="98"/>
      <c r="M3" s="138"/>
      <c r="N3" s="26" t="s">
        <v>158</v>
      </c>
      <c r="O3" s="99" t="s">
        <v>157</v>
      </c>
      <c r="P3" s="100"/>
      <c r="Q3" s="100"/>
      <c r="R3" s="100"/>
      <c r="S3" s="100"/>
      <c r="T3" s="100"/>
      <c r="U3" s="101"/>
      <c r="V3" s="26" t="s">
        <v>159</v>
      </c>
      <c r="W3" s="114">
        <v>44810</v>
      </c>
      <c r="X3" s="98"/>
    </row>
    <row r="4" spans="3:24" ht="16.5" customHeight="1">
      <c r="C4" s="25" t="s">
        <v>160</v>
      </c>
      <c r="D4" s="92" t="s">
        <v>161</v>
      </c>
      <c r="E4" s="93"/>
      <c r="F4" s="93"/>
      <c r="G4" s="93"/>
      <c r="H4" s="94"/>
      <c r="I4" s="95" t="s">
        <v>15</v>
      </c>
      <c r="J4" s="96"/>
      <c r="K4" s="97" t="s">
        <v>162</v>
      </c>
      <c r="L4" s="98"/>
      <c r="M4" s="138"/>
      <c r="N4" s="26" t="s">
        <v>163</v>
      </c>
      <c r="O4" s="99" t="s">
        <v>164</v>
      </c>
      <c r="P4" s="100"/>
      <c r="Q4" s="100"/>
      <c r="R4" s="100"/>
      <c r="S4" s="100"/>
      <c r="T4" s="100"/>
      <c r="U4" s="101"/>
      <c r="V4" s="26" t="s">
        <v>165</v>
      </c>
      <c r="W4" s="80"/>
      <c r="X4" s="81"/>
    </row>
    <row r="5" spans="3:24" ht="16.5" customHeight="1">
      <c r="C5" s="27" t="s">
        <v>166</v>
      </c>
      <c r="D5" s="102"/>
      <c r="E5" s="103"/>
      <c r="F5" s="103"/>
      <c r="G5" s="103"/>
      <c r="H5" s="104"/>
      <c r="I5" s="105" t="s">
        <v>167</v>
      </c>
      <c r="J5" s="105"/>
      <c r="K5" s="78"/>
      <c r="L5" s="79"/>
      <c r="M5" s="139"/>
      <c r="N5" s="27" t="s">
        <v>168</v>
      </c>
      <c r="O5" s="106"/>
      <c r="P5" s="107"/>
      <c r="Q5" s="107"/>
      <c r="R5" s="107"/>
      <c r="S5" s="107"/>
      <c r="T5" s="107"/>
      <c r="U5" s="108"/>
      <c r="V5" s="27" t="s">
        <v>169</v>
      </c>
      <c r="W5" s="78"/>
      <c r="X5" s="79"/>
    </row>
    <row r="7" spans="3:24" ht="45.75" customHeight="1">
      <c r="C7" s="13" t="s">
        <v>170</v>
      </c>
      <c r="D7" s="89" t="s">
        <v>171</v>
      </c>
      <c r="E7" s="90"/>
      <c r="F7" s="90"/>
      <c r="G7" s="90"/>
      <c r="H7" s="90"/>
      <c r="I7" s="90"/>
      <c r="J7" s="90"/>
      <c r="K7" s="90"/>
      <c r="L7" s="90"/>
      <c r="M7" s="140"/>
      <c r="N7" s="90"/>
      <c r="O7" s="90"/>
      <c r="P7" s="90"/>
      <c r="Q7" s="90"/>
      <c r="R7" s="90"/>
      <c r="S7" s="90"/>
      <c r="T7" s="90"/>
      <c r="U7" s="90"/>
      <c r="V7" s="90"/>
      <c r="W7" s="90"/>
      <c r="X7" s="91"/>
    </row>
    <row r="8" spans="3:24" ht="27" customHeight="1">
      <c r="C8" s="13" t="s">
        <v>172</v>
      </c>
      <c r="D8" s="89" t="s">
        <v>173</v>
      </c>
      <c r="E8" s="90"/>
      <c r="F8" s="90"/>
      <c r="G8" s="90"/>
      <c r="H8" s="90"/>
      <c r="I8" s="90"/>
      <c r="J8" s="90"/>
      <c r="K8" s="90"/>
      <c r="L8" s="90"/>
      <c r="M8" s="140"/>
      <c r="N8" s="90"/>
      <c r="O8" s="90"/>
      <c r="P8" s="90"/>
      <c r="Q8" s="90"/>
      <c r="R8" s="90"/>
      <c r="S8" s="90"/>
      <c r="T8" s="90"/>
      <c r="U8" s="90"/>
      <c r="V8" s="90"/>
      <c r="W8" s="90"/>
      <c r="X8" s="91"/>
    </row>
    <row r="10" spans="3:24" ht="38.25" customHeight="1">
      <c r="C10" s="109" t="s">
        <v>174</v>
      </c>
      <c r="D10" s="109"/>
      <c r="E10" s="109"/>
      <c r="F10" s="109"/>
      <c r="G10" s="109"/>
      <c r="H10" s="109"/>
      <c r="I10" s="109"/>
      <c r="J10" s="109"/>
      <c r="K10" s="109"/>
      <c r="L10" s="110"/>
      <c r="M10" s="141"/>
      <c r="N10" s="115" t="s">
        <v>175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5" t="s">
        <v>176</v>
      </c>
    </row>
    <row r="11" spans="3:24" ht="16.5" customHeight="1">
      <c r="C11" s="117" t="s">
        <v>10</v>
      </c>
      <c r="D11" s="85"/>
      <c r="E11" s="85"/>
      <c r="F11" s="86"/>
      <c r="G11" s="118" t="s">
        <v>177</v>
      </c>
      <c r="H11" s="119"/>
      <c r="I11" s="119"/>
      <c r="J11" s="119"/>
      <c r="K11" s="119"/>
      <c r="L11" s="122"/>
      <c r="M11" s="142"/>
      <c r="N11" s="84" t="s">
        <v>10</v>
      </c>
      <c r="O11" s="85"/>
      <c r="P11" s="85"/>
      <c r="Q11" s="86"/>
      <c r="R11" s="118" t="s">
        <v>44</v>
      </c>
      <c r="S11" s="119"/>
      <c r="T11" s="119"/>
      <c r="U11" s="119"/>
      <c r="V11" s="119"/>
      <c r="W11" s="122"/>
      <c r="X11" s="105"/>
    </row>
    <row r="12" spans="3:24" ht="16.5" customHeight="1">
      <c r="C12" s="117" t="s">
        <v>178</v>
      </c>
      <c r="D12" s="85"/>
      <c r="E12" s="85"/>
      <c r="F12" s="86"/>
      <c r="G12" s="118" t="str">
        <f>VLOOKUP(G11,Code!$B$3:$C$69,2,0)</f>
        <v>DPS</v>
      </c>
      <c r="H12" s="119"/>
      <c r="I12" s="119"/>
      <c r="J12" s="119"/>
      <c r="K12" s="119"/>
      <c r="L12" s="120"/>
      <c r="M12" s="142"/>
      <c r="N12" s="84" t="s">
        <v>178</v>
      </c>
      <c r="O12" s="85"/>
      <c r="P12" s="85"/>
      <c r="Q12" s="86"/>
      <c r="R12" s="118" t="str">
        <f>VLOOKUP(R11,Code!$B$3:$C$69,2,0)</f>
        <v>ERP</v>
      </c>
      <c r="S12" s="119"/>
      <c r="T12" s="119"/>
      <c r="U12" s="119"/>
      <c r="V12" s="119"/>
      <c r="W12" s="120"/>
      <c r="X12" s="86"/>
    </row>
    <row r="13" spans="3:24" ht="16.5" customHeight="1">
      <c r="C13" s="117" t="s">
        <v>179</v>
      </c>
      <c r="D13" s="85"/>
      <c r="E13" s="85"/>
      <c r="F13" s="86"/>
      <c r="G13" s="82"/>
      <c r="H13" s="83"/>
      <c r="I13" s="83"/>
      <c r="J13" s="83"/>
      <c r="K13" s="83"/>
      <c r="L13" s="121"/>
      <c r="M13" s="143"/>
      <c r="N13" s="84" t="s">
        <v>179</v>
      </c>
      <c r="O13" s="85"/>
      <c r="P13" s="85"/>
      <c r="Q13" s="86"/>
      <c r="R13" s="82" t="s">
        <v>180</v>
      </c>
      <c r="S13" s="83"/>
      <c r="T13" s="83"/>
      <c r="U13" s="83"/>
      <c r="V13" s="83"/>
      <c r="W13" s="121"/>
      <c r="X13" s="105"/>
    </row>
    <row r="14" spans="3:24">
      <c r="C14" s="105" t="s">
        <v>181</v>
      </c>
      <c r="D14" s="105"/>
      <c r="E14" s="105"/>
      <c r="F14" s="105"/>
      <c r="G14" s="82" t="s">
        <v>286</v>
      </c>
      <c r="H14" s="83"/>
      <c r="I14" s="83"/>
      <c r="J14" s="83"/>
      <c r="K14" s="83"/>
      <c r="L14" s="83"/>
      <c r="M14" s="143"/>
      <c r="N14" s="84" t="s">
        <v>181</v>
      </c>
      <c r="O14" s="85"/>
      <c r="P14" s="85"/>
      <c r="Q14" s="86"/>
      <c r="R14" s="87" t="s">
        <v>182</v>
      </c>
      <c r="S14" s="88"/>
      <c r="T14" s="88"/>
      <c r="U14" s="88"/>
      <c r="V14" s="88"/>
      <c r="W14" s="88"/>
      <c r="X14" s="105"/>
    </row>
    <row r="15" spans="3:24" ht="16.5" customHeight="1">
      <c r="C15" s="105" t="s">
        <v>12</v>
      </c>
      <c r="D15" s="105"/>
      <c r="E15" s="105"/>
      <c r="F15" s="105"/>
      <c r="G15" s="82" t="s">
        <v>33</v>
      </c>
      <c r="H15" s="83"/>
      <c r="I15" s="83"/>
      <c r="J15" s="83"/>
      <c r="K15" s="83"/>
      <c r="L15" s="121"/>
      <c r="M15" s="143"/>
      <c r="N15" s="128" t="s">
        <v>12</v>
      </c>
      <c r="O15" s="105"/>
      <c r="P15" s="105"/>
      <c r="Q15" s="105"/>
      <c r="R15" s="82" t="s">
        <v>183</v>
      </c>
      <c r="S15" s="83"/>
      <c r="T15" s="83"/>
      <c r="U15" s="83"/>
      <c r="V15" s="83"/>
      <c r="W15" s="121"/>
      <c r="X15" s="105"/>
    </row>
    <row r="16" spans="3:24" ht="16.5" customHeight="1">
      <c r="C16" s="129" t="s">
        <v>184</v>
      </c>
      <c r="D16" s="130"/>
      <c r="E16" s="130"/>
      <c r="F16" s="130"/>
      <c r="G16" s="130"/>
      <c r="H16" s="130"/>
      <c r="I16" s="130"/>
      <c r="J16" s="130"/>
      <c r="K16" s="130"/>
      <c r="L16" s="131"/>
      <c r="M16" s="144"/>
      <c r="N16" s="132" t="s">
        <v>185</v>
      </c>
      <c r="O16" s="130"/>
      <c r="P16" s="130"/>
      <c r="Q16" s="130"/>
      <c r="R16" s="130"/>
      <c r="S16" s="130"/>
      <c r="T16" s="130"/>
      <c r="U16" s="130"/>
      <c r="V16" s="130"/>
      <c r="W16" s="133"/>
      <c r="X16" s="105"/>
    </row>
    <row r="17" spans="2:24" ht="16.5" customHeight="1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8" t="s">
        <v>193</v>
      </c>
      <c r="M17" s="144"/>
      <c r="N17" s="29" t="s">
        <v>181</v>
      </c>
      <c r="O17" s="30" t="s">
        <v>186</v>
      </c>
      <c r="P17" s="30" t="s">
        <v>187</v>
      </c>
      <c r="Q17" s="30" t="s">
        <v>188</v>
      </c>
      <c r="R17" s="30" t="s">
        <v>189</v>
      </c>
      <c r="S17" s="30" t="s">
        <v>190</v>
      </c>
      <c r="T17" s="15" t="s">
        <v>191</v>
      </c>
      <c r="U17" s="30" t="s">
        <v>158</v>
      </c>
      <c r="V17" s="30" t="s">
        <v>192</v>
      </c>
      <c r="W17" s="30" t="s">
        <v>193</v>
      </c>
      <c r="X17" s="116"/>
    </row>
    <row r="18" spans="2:24" s="2" customFormat="1" ht="16.5" customHeight="1">
      <c r="B18" s="2" t="s">
        <v>295</v>
      </c>
      <c r="C18" s="31" t="s">
        <v>33</v>
      </c>
      <c r="D18" s="32">
        <v>1</v>
      </c>
      <c r="E18" s="33" t="s">
        <v>194</v>
      </c>
      <c r="F18" s="34"/>
      <c r="G18" s="35" t="s">
        <v>292</v>
      </c>
      <c r="H18" s="35">
        <v>8</v>
      </c>
      <c r="I18" s="34" t="s">
        <v>23</v>
      </c>
      <c r="J18" s="36" t="s">
        <v>196</v>
      </c>
      <c r="K18" s="37" t="s">
        <v>197</v>
      </c>
      <c r="L18" s="38"/>
      <c r="M18" s="38" t="s">
        <v>296</v>
      </c>
      <c r="N18" s="21" t="s">
        <v>182</v>
      </c>
      <c r="O18" s="32">
        <v>1</v>
      </c>
      <c r="P18" s="33" t="s">
        <v>197</v>
      </c>
      <c r="Q18" s="34"/>
      <c r="R18" s="35" t="s">
        <v>195</v>
      </c>
      <c r="S18" s="35">
        <v>8</v>
      </c>
      <c r="T18" s="34" t="s">
        <v>23</v>
      </c>
      <c r="U18" s="36" t="s">
        <v>196</v>
      </c>
      <c r="V18" s="37" t="s">
        <v>197</v>
      </c>
      <c r="W18" s="39"/>
      <c r="X18" s="40"/>
    </row>
    <row r="19" spans="2:24" s="2" customFormat="1" ht="16.5" customHeight="1">
      <c r="B19" s="2" t="s">
        <v>295</v>
      </c>
      <c r="C19" s="41"/>
      <c r="D19" s="34">
        <v>2</v>
      </c>
      <c r="E19" s="42" t="s">
        <v>198</v>
      </c>
      <c r="F19" s="34"/>
      <c r="G19" s="35" t="s">
        <v>292</v>
      </c>
      <c r="H19" s="35">
        <v>8</v>
      </c>
      <c r="I19" s="34" t="s">
        <v>23</v>
      </c>
      <c r="J19" s="36" t="s">
        <v>196</v>
      </c>
      <c r="K19" s="37" t="s">
        <v>197</v>
      </c>
      <c r="L19" s="38"/>
      <c r="M19" s="38" t="s">
        <v>296</v>
      </c>
      <c r="N19" s="21"/>
      <c r="O19" s="32">
        <v>1</v>
      </c>
      <c r="P19" s="33" t="s">
        <v>197</v>
      </c>
      <c r="Q19" s="34"/>
      <c r="R19" s="35" t="s">
        <v>195</v>
      </c>
      <c r="S19" s="35">
        <v>8</v>
      </c>
      <c r="T19" s="34" t="s">
        <v>23</v>
      </c>
      <c r="U19" s="36" t="s">
        <v>196</v>
      </c>
      <c r="V19" s="37" t="s">
        <v>197</v>
      </c>
      <c r="W19" s="39"/>
      <c r="X19" s="40"/>
    </row>
    <row r="20" spans="2:24" ht="16.5" customHeight="1">
      <c r="N20" s="14"/>
      <c r="X20" s="43"/>
    </row>
    <row r="21" spans="2:24" ht="16.5" customHeight="1">
      <c r="C21" s="105" t="s">
        <v>185</v>
      </c>
      <c r="D21" s="105"/>
      <c r="E21" s="105"/>
      <c r="F21" s="105"/>
      <c r="G21" s="105"/>
      <c r="H21" s="105"/>
      <c r="I21" s="105"/>
      <c r="J21" s="105"/>
      <c r="K21" s="105"/>
      <c r="L21" s="117"/>
      <c r="M21" s="145"/>
      <c r="N21" s="128" t="s">
        <v>184</v>
      </c>
      <c r="O21" s="105"/>
      <c r="P21" s="105"/>
      <c r="Q21" s="105"/>
      <c r="R21" s="105"/>
      <c r="S21" s="105"/>
      <c r="T21" s="105"/>
      <c r="U21" s="105"/>
      <c r="V21" s="105"/>
      <c r="W21" s="117"/>
      <c r="X21" s="126" t="s">
        <v>176</v>
      </c>
    </row>
    <row r="22" spans="2:24" ht="16.5" customHeight="1">
      <c r="C22" s="15" t="s">
        <v>181</v>
      </c>
      <c r="D22" s="15" t="s">
        <v>186</v>
      </c>
      <c r="E22" s="15" t="s">
        <v>199</v>
      </c>
      <c r="F22" s="15" t="s">
        <v>188</v>
      </c>
      <c r="G22" s="15" t="s">
        <v>189</v>
      </c>
      <c r="H22" s="15" t="s">
        <v>190</v>
      </c>
      <c r="I22" s="15" t="s">
        <v>191</v>
      </c>
      <c r="J22" s="15" t="s">
        <v>158</v>
      </c>
      <c r="K22" s="15" t="s">
        <v>192</v>
      </c>
      <c r="L22" s="28" t="s">
        <v>193</v>
      </c>
      <c r="M22" s="144"/>
      <c r="N22" s="29" t="s">
        <v>181</v>
      </c>
      <c r="O22" s="30" t="s">
        <v>186</v>
      </c>
      <c r="P22" s="30" t="s">
        <v>187</v>
      </c>
      <c r="Q22" s="30" t="s">
        <v>188</v>
      </c>
      <c r="R22" s="30" t="s">
        <v>189</v>
      </c>
      <c r="S22" s="30" t="s">
        <v>190</v>
      </c>
      <c r="T22" s="15" t="s">
        <v>191</v>
      </c>
      <c r="U22" s="30" t="s">
        <v>158</v>
      </c>
      <c r="V22" s="30" t="s">
        <v>192</v>
      </c>
      <c r="W22" s="30" t="s">
        <v>193</v>
      </c>
      <c r="X22" s="127"/>
    </row>
    <row r="23" spans="2:24" s="1" customFormat="1" ht="16.5" customHeight="1">
      <c r="B23" s="1" t="s">
        <v>297</v>
      </c>
      <c r="C23" s="58" t="s">
        <v>182</v>
      </c>
      <c r="D23" s="39">
        <v>1</v>
      </c>
      <c r="E23" s="44" t="s">
        <v>200</v>
      </c>
      <c r="F23" s="39" t="s">
        <v>23</v>
      </c>
      <c r="G23" s="45" t="s">
        <v>201</v>
      </c>
      <c r="H23" s="45">
        <v>6</v>
      </c>
      <c r="I23" s="34" t="s">
        <v>202</v>
      </c>
      <c r="J23" s="35" t="s">
        <v>203</v>
      </c>
      <c r="K23" s="46"/>
      <c r="L23" s="47"/>
      <c r="M23" s="47" t="s">
        <v>299</v>
      </c>
      <c r="N23" s="21" t="s">
        <v>182</v>
      </c>
      <c r="O23" s="39">
        <v>1</v>
      </c>
      <c r="P23" s="44" t="s">
        <v>200</v>
      </c>
      <c r="Q23" s="39" t="s">
        <v>23</v>
      </c>
      <c r="R23" s="45" t="s">
        <v>195</v>
      </c>
      <c r="S23" s="45">
        <v>6</v>
      </c>
      <c r="T23" s="34" t="s">
        <v>202</v>
      </c>
      <c r="U23" s="35" t="s">
        <v>203</v>
      </c>
      <c r="V23" s="40"/>
      <c r="W23" s="39"/>
      <c r="X23" s="48"/>
    </row>
    <row r="24" spans="2:24" s="1" customFormat="1" ht="16.5" customHeight="1">
      <c r="B24" s="1" t="s">
        <v>297</v>
      </c>
      <c r="C24" s="33"/>
      <c r="D24" s="39">
        <v>2</v>
      </c>
      <c r="E24" s="44" t="s">
        <v>204</v>
      </c>
      <c r="F24" s="39"/>
      <c r="G24" s="45" t="s">
        <v>201</v>
      </c>
      <c r="H24" s="45">
        <v>10</v>
      </c>
      <c r="I24" s="34" t="s">
        <v>202</v>
      </c>
      <c r="J24" s="35" t="s">
        <v>205</v>
      </c>
      <c r="K24" s="46"/>
      <c r="L24" s="47"/>
      <c r="M24" s="47" t="s">
        <v>299</v>
      </c>
      <c r="N24" s="23"/>
      <c r="O24" s="39">
        <v>2</v>
      </c>
      <c r="P24" s="44" t="s">
        <v>204</v>
      </c>
      <c r="Q24" s="39"/>
      <c r="R24" s="45" t="s">
        <v>195</v>
      </c>
      <c r="S24" s="45">
        <v>10</v>
      </c>
      <c r="T24" s="34" t="s">
        <v>202</v>
      </c>
      <c r="U24" s="35" t="s">
        <v>205</v>
      </c>
      <c r="V24" s="40"/>
      <c r="W24" s="39"/>
      <c r="X24" s="48"/>
    </row>
    <row r="25" spans="2:24" s="1" customFormat="1" ht="16.5" customHeight="1">
      <c r="B25" s="1" t="s">
        <v>297</v>
      </c>
      <c r="C25" s="33"/>
      <c r="D25" s="39">
        <v>3</v>
      </c>
      <c r="E25" s="44" t="s">
        <v>206</v>
      </c>
      <c r="F25" s="39" t="s">
        <v>23</v>
      </c>
      <c r="G25" s="45" t="s">
        <v>207</v>
      </c>
      <c r="H25" s="45"/>
      <c r="I25" s="49" t="s">
        <v>202</v>
      </c>
      <c r="J25" s="42" t="s">
        <v>208</v>
      </c>
      <c r="K25" s="46"/>
      <c r="L25" s="47"/>
      <c r="M25" s="47" t="s">
        <v>299</v>
      </c>
      <c r="N25" s="23"/>
      <c r="O25" s="39">
        <v>3</v>
      </c>
      <c r="P25" s="44" t="s">
        <v>206</v>
      </c>
      <c r="Q25" s="39" t="s">
        <v>23</v>
      </c>
      <c r="R25" s="45" t="s">
        <v>209</v>
      </c>
      <c r="S25" s="45"/>
      <c r="T25" s="49" t="s">
        <v>202</v>
      </c>
      <c r="U25" s="42" t="s">
        <v>208</v>
      </c>
      <c r="V25" s="40"/>
      <c r="W25" s="39"/>
      <c r="X25" s="48"/>
    </row>
    <row r="26" spans="2:24" s="1" customFormat="1" ht="16.5" customHeight="1">
      <c r="B26" s="1" t="s">
        <v>297</v>
      </c>
      <c r="C26" s="33"/>
      <c r="D26" s="39">
        <v>4</v>
      </c>
      <c r="E26" s="44" t="s">
        <v>210</v>
      </c>
      <c r="F26" s="39"/>
      <c r="G26" s="45" t="s">
        <v>207</v>
      </c>
      <c r="H26" s="45"/>
      <c r="I26" s="49" t="s">
        <v>202</v>
      </c>
      <c r="J26" s="35" t="s">
        <v>211</v>
      </c>
      <c r="K26" s="46"/>
      <c r="L26" s="47"/>
      <c r="M26" s="47" t="s">
        <v>299</v>
      </c>
      <c r="N26" s="23"/>
      <c r="O26" s="39">
        <v>4</v>
      </c>
      <c r="P26" s="44" t="s">
        <v>210</v>
      </c>
      <c r="Q26" s="39"/>
      <c r="R26" s="45" t="s">
        <v>209</v>
      </c>
      <c r="S26" s="45"/>
      <c r="T26" s="49" t="s">
        <v>202</v>
      </c>
      <c r="U26" s="35" t="s">
        <v>211</v>
      </c>
      <c r="V26" s="40"/>
      <c r="W26" s="39"/>
      <c r="X26" s="48"/>
    </row>
    <row r="27" spans="2:24" s="1" customFormat="1" ht="16.5" customHeight="1">
      <c r="B27" s="1" t="s">
        <v>297</v>
      </c>
      <c r="C27" s="33"/>
      <c r="D27" s="39">
        <v>5</v>
      </c>
      <c r="E27" s="44" t="s">
        <v>212</v>
      </c>
      <c r="F27" s="39"/>
      <c r="G27" s="45" t="s">
        <v>213</v>
      </c>
      <c r="H27" s="45"/>
      <c r="I27" s="49" t="s">
        <v>202</v>
      </c>
      <c r="J27" s="35" t="s">
        <v>214</v>
      </c>
      <c r="K27" s="46"/>
      <c r="L27" s="47"/>
      <c r="M27" s="47" t="s">
        <v>299</v>
      </c>
      <c r="N27" s="23"/>
      <c r="O27" s="39">
        <v>5</v>
      </c>
      <c r="P27" s="44" t="s">
        <v>212</v>
      </c>
      <c r="Q27" s="39"/>
      <c r="R27" s="45" t="s">
        <v>215</v>
      </c>
      <c r="S27" s="45"/>
      <c r="T27" s="49" t="s">
        <v>202</v>
      </c>
      <c r="U27" s="35" t="s">
        <v>214</v>
      </c>
      <c r="V27" s="40"/>
      <c r="W27" s="39"/>
      <c r="X27" s="48"/>
    </row>
    <row r="28" spans="2:24" s="1" customFormat="1" ht="16.5" customHeight="1">
      <c r="B28" s="1" t="s">
        <v>297</v>
      </c>
      <c r="C28" s="33"/>
      <c r="D28" s="39">
        <v>6</v>
      </c>
      <c r="E28" s="44" t="s">
        <v>216</v>
      </c>
      <c r="F28" s="39"/>
      <c r="G28" s="45" t="s">
        <v>207</v>
      </c>
      <c r="H28" s="45"/>
      <c r="I28" s="49" t="s">
        <v>202</v>
      </c>
      <c r="J28" s="35" t="s">
        <v>217</v>
      </c>
      <c r="K28" s="46"/>
      <c r="L28" s="47"/>
      <c r="M28" s="47" t="s">
        <v>299</v>
      </c>
      <c r="N28" s="23"/>
      <c r="O28" s="39">
        <v>6</v>
      </c>
      <c r="P28" s="44" t="s">
        <v>216</v>
      </c>
      <c r="Q28" s="39"/>
      <c r="R28" s="45" t="s">
        <v>209</v>
      </c>
      <c r="S28" s="45"/>
      <c r="T28" s="49" t="s">
        <v>202</v>
      </c>
      <c r="U28" s="35" t="s">
        <v>217</v>
      </c>
      <c r="V28" s="40"/>
      <c r="W28" s="39"/>
      <c r="X28" s="48"/>
    </row>
    <row r="29" spans="2:24" s="1" customFormat="1" ht="16.5" customHeight="1">
      <c r="B29" s="1" t="s">
        <v>297</v>
      </c>
      <c r="C29" s="33"/>
      <c r="D29" s="39">
        <v>7</v>
      </c>
      <c r="E29" s="44" t="s">
        <v>218</v>
      </c>
      <c r="F29" s="39"/>
      <c r="G29" s="45" t="s">
        <v>201</v>
      </c>
      <c r="H29" s="45">
        <v>240</v>
      </c>
      <c r="I29" s="49" t="s">
        <v>202</v>
      </c>
      <c r="J29" s="35" t="s">
        <v>219</v>
      </c>
      <c r="K29" s="46"/>
      <c r="L29" s="47"/>
      <c r="M29" s="47" t="s">
        <v>299</v>
      </c>
      <c r="N29" s="23"/>
      <c r="O29" s="39">
        <v>7</v>
      </c>
      <c r="P29" s="44" t="s">
        <v>218</v>
      </c>
      <c r="Q29" s="39"/>
      <c r="R29" s="45" t="s">
        <v>195</v>
      </c>
      <c r="S29" s="45">
        <v>240</v>
      </c>
      <c r="T29" s="49" t="s">
        <v>202</v>
      </c>
      <c r="U29" s="35" t="s">
        <v>219</v>
      </c>
      <c r="V29" s="40" t="s">
        <v>220</v>
      </c>
      <c r="W29" s="39"/>
      <c r="X29" s="48"/>
    </row>
    <row r="30" spans="2:24" s="1" customFormat="1" ht="16.5" customHeight="1">
      <c r="B30" s="1" t="s">
        <v>297</v>
      </c>
      <c r="C30" s="33"/>
      <c r="D30" s="39">
        <v>8</v>
      </c>
      <c r="E30" s="44" t="s">
        <v>221</v>
      </c>
      <c r="F30" s="39"/>
      <c r="G30" s="45" t="s">
        <v>207</v>
      </c>
      <c r="H30" s="45"/>
      <c r="I30" s="49" t="s">
        <v>202</v>
      </c>
      <c r="J30" s="35" t="s">
        <v>222</v>
      </c>
      <c r="K30" s="46"/>
      <c r="L30" s="47"/>
      <c r="M30" s="47" t="s">
        <v>299</v>
      </c>
      <c r="N30" s="23"/>
      <c r="O30" s="39">
        <v>8</v>
      </c>
      <c r="P30" s="44" t="s">
        <v>221</v>
      </c>
      <c r="Q30" s="39"/>
      <c r="R30" s="45" t="s">
        <v>209</v>
      </c>
      <c r="S30" s="45"/>
      <c r="T30" s="49" t="s">
        <v>202</v>
      </c>
      <c r="U30" s="35" t="s">
        <v>222</v>
      </c>
      <c r="V30" s="40"/>
      <c r="W30" s="39"/>
      <c r="X30" s="48"/>
    </row>
    <row r="31" spans="2:24" s="1" customFormat="1" ht="16.5" customHeight="1">
      <c r="B31" s="1" t="s">
        <v>297</v>
      </c>
      <c r="C31" s="33"/>
      <c r="D31" s="39">
        <v>9</v>
      </c>
      <c r="E31" s="44" t="s">
        <v>223</v>
      </c>
      <c r="F31" s="39"/>
      <c r="G31" s="45" t="s">
        <v>207</v>
      </c>
      <c r="H31" s="45"/>
      <c r="I31" s="49" t="s">
        <v>202</v>
      </c>
      <c r="J31" s="35" t="s">
        <v>224</v>
      </c>
      <c r="K31" s="46"/>
      <c r="L31" s="47"/>
      <c r="M31" s="47" t="s">
        <v>299</v>
      </c>
      <c r="N31" s="23"/>
      <c r="O31" s="39">
        <v>9</v>
      </c>
      <c r="P31" s="44" t="s">
        <v>223</v>
      </c>
      <c r="Q31" s="39"/>
      <c r="R31" s="45" t="s">
        <v>209</v>
      </c>
      <c r="S31" s="45"/>
      <c r="T31" s="49" t="s">
        <v>202</v>
      </c>
      <c r="U31" s="35" t="s">
        <v>224</v>
      </c>
      <c r="V31" s="40"/>
      <c r="W31" s="39"/>
      <c r="X31" s="48"/>
    </row>
    <row r="32" spans="2:24" s="1" customFormat="1" ht="16.5" customHeight="1">
      <c r="B32" s="1" t="s">
        <v>297</v>
      </c>
      <c r="C32" s="33"/>
      <c r="D32" s="39">
        <v>10</v>
      </c>
      <c r="E32" s="44" t="s">
        <v>225</v>
      </c>
      <c r="F32" s="39" t="s">
        <v>23</v>
      </c>
      <c r="G32" s="45" t="s">
        <v>207</v>
      </c>
      <c r="H32" s="45"/>
      <c r="I32" s="49" t="s">
        <v>202</v>
      </c>
      <c r="J32" s="35" t="s">
        <v>226</v>
      </c>
      <c r="K32" s="46"/>
      <c r="L32" s="47"/>
      <c r="M32" s="47" t="s">
        <v>299</v>
      </c>
      <c r="N32" s="23"/>
      <c r="O32" s="39">
        <v>10</v>
      </c>
      <c r="P32" s="44" t="s">
        <v>225</v>
      </c>
      <c r="Q32" s="39" t="s">
        <v>23</v>
      </c>
      <c r="R32" s="45" t="s">
        <v>209</v>
      </c>
      <c r="S32" s="45"/>
      <c r="T32" s="49" t="s">
        <v>202</v>
      </c>
      <c r="U32" s="35" t="s">
        <v>226</v>
      </c>
      <c r="V32" s="40"/>
      <c r="W32" s="39"/>
      <c r="X32" s="48"/>
    </row>
    <row r="33" spans="2:24" s="1" customFormat="1" ht="16.5" customHeight="1">
      <c r="B33" s="1" t="s">
        <v>297</v>
      </c>
      <c r="C33" s="33"/>
      <c r="D33" s="39">
        <v>11</v>
      </c>
      <c r="E33" s="44" t="s">
        <v>227</v>
      </c>
      <c r="F33" s="39"/>
      <c r="G33" s="45" t="s">
        <v>207</v>
      </c>
      <c r="H33" s="45"/>
      <c r="I33" s="49" t="s">
        <v>202</v>
      </c>
      <c r="J33" s="35" t="s">
        <v>228</v>
      </c>
      <c r="K33" s="46"/>
      <c r="L33" s="47"/>
      <c r="M33" s="47" t="s">
        <v>299</v>
      </c>
      <c r="N33" s="23"/>
      <c r="O33" s="39">
        <v>11</v>
      </c>
      <c r="P33" s="44" t="s">
        <v>227</v>
      </c>
      <c r="Q33" s="39"/>
      <c r="R33" s="45" t="s">
        <v>209</v>
      </c>
      <c r="S33" s="45"/>
      <c r="T33" s="49" t="s">
        <v>202</v>
      </c>
      <c r="U33" s="35" t="s">
        <v>228</v>
      </c>
      <c r="V33" s="40"/>
      <c r="W33" s="39"/>
      <c r="X33" s="48"/>
    </row>
    <row r="34" spans="2:24" s="1" customFormat="1" ht="16.5" customHeight="1">
      <c r="B34" s="1" t="s">
        <v>297</v>
      </c>
      <c r="C34" s="33"/>
      <c r="D34" s="39">
        <v>12</v>
      </c>
      <c r="E34" s="44" t="s">
        <v>229</v>
      </c>
      <c r="F34" s="39"/>
      <c r="G34" s="45" t="s">
        <v>207</v>
      </c>
      <c r="H34" s="45"/>
      <c r="I34" s="49" t="s">
        <v>202</v>
      </c>
      <c r="J34" s="35" t="s">
        <v>230</v>
      </c>
      <c r="K34" s="46"/>
      <c r="L34" s="47"/>
      <c r="M34" s="47" t="s">
        <v>299</v>
      </c>
      <c r="N34" s="23"/>
      <c r="O34" s="39">
        <v>12</v>
      </c>
      <c r="P34" s="44" t="s">
        <v>229</v>
      </c>
      <c r="Q34" s="39"/>
      <c r="R34" s="45" t="s">
        <v>209</v>
      </c>
      <c r="S34" s="45"/>
      <c r="T34" s="49" t="s">
        <v>202</v>
      </c>
      <c r="U34" s="35" t="s">
        <v>230</v>
      </c>
      <c r="V34" s="40"/>
      <c r="W34" s="39"/>
      <c r="X34" s="48"/>
    </row>
    <row r="35" spans="2:24" s="1" customFormat="1" ht="16.5" customHeight="1">
      <c r="B35" s="1" t="s">
        <v>297</v>
      </c>
      <c r="C35" s="33"/>
      <c r="D35" s="39">
        <v>13</v>
      </c>
      <c r="E35" s="44" t="s">
        <v>231</v>
      </c>
      <c r="F35" s="39"/>
      <c r="G35" s="45" t="s">
        <v>207</v>
      </c>
      <c r="H35" s="45"/>
      <c r="I35" s="49" t="s">
        <v>202</v>
      </c>
      <c r="J35" s="35" t="s">
        <v>232</v>
      </c>
      <c r="K35" s="46"/>
      <c r="L35" s="47"/>
      <c r="M35" s="47" t="s">
        <v>299</v>
      </c>
      <c r="N35" s="23"/>
      <c r="O35" s="39">
        <v>13</v>
      </c>
      <c r="P35" s="44" t="s">
        <v>231</v>
      </c>
      <c r="Q35" s="39"/>
      <c r="R35" s="45" t="s">
        <v>209</v>
      </c>
      <c r="S35" s="45"/>
      <c r="T35" s="49" t="s">
        <v>202</v>
      </c>
      <c r="U35" s="35" t="s">
        <v>232</v>
      </c>
      <c r="V35" s="40"/>
      <c r="W35" s="39"/>
      <c r="X35" s="48"/>
    </row>
    <row r="36" spans="2:24" s="1" customFormat="1" ht="16.5" customHeight="1">
      <c r="B36" s="1" t="s">
        <v>297</v>
      </c>
      <c r="C36" s="33"/>
      <c r="D36" s="39">
        <v>14</v>
      </c>
      <c r="E36" s="44" t="s">
        <v>233</v>
      </c>
      <c r="F36" s="39"/>
      <c r="G36" s="45" t="s">
        <v>207</v>
      </c>
      <c r="H36" s="45"/>
      <c r="I36" s="49" t="s">
        <v>202</v>
      </c>
      <c r="J36" s="35" t="s">
        <v>234</v>
      </c>
      <c r="K36" s="46"/>
      <c r="L36" s="47"/>
      <c r="M36" s="47" t="s">
        <v>299</v>
      </c>
      <c r="N36" s="23"/>
      <c r="O36" s="39">
        <v>14</v>
      </c>
      <c r="P36" s="44" t="s">
        <v>233</v>
      </c>
      <c r="Q36" s="39"/>
      <c r="R36" s="45" t="s">
        <v>209</v>
      </c>
      <c r="S36" s="45"/>
      <c r="T36" s="49" t="s">
        <v>202</v>
      </c>
      <c r="U36" s="35" t="s">
        <v>234</v>
      </c>
      <c r="V36" s="40"/>
      <c r="W36" s="39"/>
      <c r="X36" s="48"/>
    </row>
    <row r="37" spans="2:24" s="1" customFormat="1" ht="16.5" customHeight="1">
      <c r="B37" s="1" t="s">
        <v>297</v>
      </c>
      <c r="C37" s="33"/>
      <c r="D37" s="39">
        <v>15</v>
      </c>
      <c r="E37" s="44" t="s">
        <v>235</v>
      </c>
      <c r="F37" s="39"/>
      <c r="G37" s="45" t="s">
        <v>201</v>
      </c>
      <c r="H37" s="45">
        <v>30</v>
      </c>
      <c r="I37" s="49" t="s">
        <v>202</v>
      </c>
      <c r="J37" s="35" t="s">
        <v>236</v>
      </c>
      <c r="K37" s="46"/>
      <c r="L37" s="47"/>
      <c r="M37" s="47" t="s">
        <v>299</v>
      </c>
      <c r="N37" s="23"/>
      <c r="O37" s="39">
        <v>15</v>
      </c>
      <c r="P37" s="44" t="s">
        <v>235</v>
      </c>
      <c r="Q37" s="39"/>
      <c r="R37" s="45" t="s">
        <v>195</v>
      </c>
      <c r="S37" s="45">
        <v>30</v>
      </c>
      <c r="T37" s="49" t="s">
        <v>202</v>
      </c>
      <c r="U37" s="35" t="s">
        <v>236</v>
      </c>
      <c r="V37" s="40"/>
      <c r="W37" s="39"/>
      <c r="X37" s="48"/>
    </row>
    <row r="38" spans="2:24" s="1" customFormat="1" ht="16.5" customHeight="1">
      <c r="B38" s="1" t="s">
        <v>297</v>
      </c>
      <c r="C38" s="33"/>
      <c r="D38" s="39">
        <v>16</v>
      </c>
      <c r="E38" s="44" t="s">
        <v>237</v>
      </c>
      <c r="F38" s="39"/>
      <c r="G38" s="45" t="s">
        <v>201</v>
      </c>
      <c r="H38" s="45">
        <v>300</v>
      </c>
      <c r="I38" s="49" t="s">
        <v>202</v>
      </c>
      <c r="J38" s="35" t="s">
        <v>238</v>
      </c>
      <c r="K38" s="46"/>
      <c r="L38" s="47"/>
      <c r="M38" s="47" t="s">
        <v>299</v>
      </c>
      <c r="N38" s="23"/>
      <c r="O38" s="39">
        <v>16</v>
      </c>
      <c r="P38" s="44" t="s">
        <v>237</v>
      </c>
      <c r="Q38" s="39"/>
      <c r="R38" s="45" t="s">
        <v>195</v>
      </c>
      <c r="S38" s="45">
        <v>300</v>
      </c>
      <c r="T38" s="49" t="s">
        <v>202</v>
      </c>
      <c r="U38" s="35" t="s">
        <v>238</v>
      </c>
      <c r="V38" s="40"/>
      <c r="W38" s="39"/>
      <c r="X38" s="48"/>
    </row>
    <row r="39" spans="2:24" s="1" customFormat="1" ht="16.5" customHeight="1">
      <c r="B39" s="1" t="s">
        <v>297</v>
      </c>
      <c r="C39" s="33"/>
      <c r="D39" s="39">
        <v>17</v>
      </c>
      <c r="E39" s="44" t="s">
        <v>239</v>
      </c>
      <c r="F39" s="39"/>
      <c r="G39" s="45" t="s">
        <v>201</v>
      </c>
      <c r="H39" s="45">
        <v>300</v>
      </c>
      <c r="I39" s="49" t="s">
        <v>202</v>
      </c>
      <c r="J39" s="35" t="s">
        <v>240</v>
      </c>
      <c r="K39" s="46"/>
      <c r="L39" s="47"/>
      <c r="M39" s="47" t="s">
        <v>299</v>
      </c>
      <c r="N39" s="23"/>
      <c r="O39" s="39">
        <v>17</v>
      </c>
      <c r="P39" s="44" t="s">
        <v>239</v>
      </c>
      <c r="Q39" s="39"/>
      <c r="R39" s="45" t="s">
        <v>195</v>
      </c>
      <c r="S39" s="45">
        <v>300</v>
      </c>
      <c r="T39" s="49" t="s">
        <v>202</v>
      </c>
      <c r="U39" s="35" t="s">
        <v>240</v>
      </c>
      <c r="V39" s="40"/>
      <c r="W39" s="39"/>
      <c r="X39" s="48"/>
    </row>
    <row r="40" spans="2:24" s="1" customFormat="1" ht="16.5" customHeight="1">
      <c r="B40" s="1" t="s">
        <v>297</v>
      </c>
      <c r="C40" s="33"/>
      <c r="D40" s="39">
        <v>18</v>
      </c>
      <c r="E40" s="44" t="s">
        <v>241</v>
      </c>
      <c r="F40" s="39"/>
      <c r="G40" s="45" t="s">
        <v>201</v>
      </c>
      <c r="H40" s="45">
        <v>300</v>
      </c>
      <c r="I40" s="49" t="s">
        <v>202</v>
      </c>
      <c r="J40" s="35" t="s">
        <v>240</v>
      </c>
      <c r="K40" s="46"/>
      <c r="L40" s="47"/>
      <c r="M40" s="47" t="s">
        <v>299</v>
      </c>
      <c r="N40" s="23"/>
      <c r="O40" s="39">
        <v>18</v>
      </c>
      <c r="P40" s="44" t="s">
        <v>241</v>
      </c>
      <c r="Q40" s="39"/>
      <c r="R40" s="45" t="s">
        <v>195</v>
      </c>
      <c r="S40" s="45">
        <v>300</v>
      </c>
      <c r="T40" s="49" t="s">
        <v>202</v>
      </c>
      <c r="U40" s="35" t="s">
        <v>240</v>
      </c>
      <c r="V40" s="40"/>
      <c r="W40" s="39"/>
      <c r="X40" s="48"/>
    </row>
    <row r="41" spans="2:24" s="1" customFormat="1" ht="16.5" customHeight="1">
      <c r="B41" s="1" t="s">
        <v>297</v>
      </c>
      <c r="C41" s="33"/>
      <c r="D41" s="39">
        <v>19</v>
      </c>
      <c r="E41" s="44" t="s">
        <v>242</v>
      </c>
      <c r="F41" s="39"/>
      <c r="G41" s="45" t="s">
        <v>201</v>
      </c>
      <c r="H41" s="45">
        <v>300</v>
      </c>
      <c r="I41" s="49" t="s">
        <v>202</v>
      </c>
      <c r="J41" s="35" t="s">
        <v>240</v>
      </c>
      <c r="K41" s="46"/>
      <c r="L41" s="47"/>
      <c r="M41" s="47" t="s">
        <v>299</v>
      </c>
      <c r="N41" s="23"/>
      <c r="O41" s="39">
        <v>19</v>
      </c>
      <c r="P41" s="44" t="s">
        <v>242</v>
      </c>
      <c r="Q41" s="39"/>
      <c r="R41" s="45" t="s">
        <v>195</v>
      </c>
      <c r="S41" s="45">
        <v>300</v>
      </c>
      <c r="T41" s="49" t="s">
        <v>202</v>
      </c>
      <c r="U41" s="35" t="s">
        <v>240</v>
      </c>
      <c r="V41" s="40"/>
      <c r="W41" s="39"/>
      <c r="X41" s="48"/>
    </row>
    <row r="42" spans="2:24" s="1" customFormat="1" ht="16.5" customHeight="1">
      <c r="B42" s="1" t="s">
        <v>297</v>
      </c>
      <c r="C42" s="33"/>
      <c r="D42" s="39">
        <v>20</v>
      </c>
      <c r="E42" s="44" t="s">
        <v>243</v>
      </c>
      <c r="F42" s="39"/>
      <c r="G42" s="45" t="s">
        <v>201</v>
      </c>
      <c r="H42" s="45">
        <v>300</v>
      </c>
      <c r="I42" s="49" t="s">
        <v>202</v>
      </c>
      <c r="J42" s="35" t="s">
        <v>240</v>
      </c>
      <c r="K42" s="46"/>
      <c r="L42" s="47"/>
      <c r="M42" s="47" t="s">
        <v>299</v>
      </c>
      <c r="N42" s="23"/>
      <c r="O42" s="39">
        <v>20</v>
      </c>
      <c r="P42" s="44" t="s">
        <v>243</v>
      </c>
      <c r="Q42" s="39"/>
      <c r="R42" s="45" t="s">
        <v>195</v>
      </c>
      <c r="S42" s="45">
        <v>300</v>
      </c>
      <c r="T42" s="49" t="s">
        <v>202</v>
      </c>
      <c r="U42" s="35" t="s">
        <v>240</v>
      </c>
      <c r="V42" s="40"/>
      <c r="W42" s="39"/>
      <c r="X42" s="48"/>
    </row>
    <row r="43" spans="2:24" s="1" customFormat="1" ht="16.5" customHeight="1">
      <c r="B43" s="1" t="s">
        <v>297</v>
      </c>
      <c r="C43" s="33"/>
      <c r="D43" s="39">
        <v>21</v>
      </c>
      <c r="E43" s="44" t="s">
        <v>244</v>
      </c>
      <c r="F43" s="39"/>
      <c r="G43" s="45" t="s">
        <v>201</v>
      </c>
      <c r="H43" s="45">
        <v>300</v>
      </c>
      <c r="I43" s="49" t="s">
        <v>202</v>
      </c>
      <c r="J43" s="35" t="s">
        <v>240</v>
      </c>
      <c r="K43" s="46"/>
      <c r="L43" s="47"/>
      <c r="M43" s="47" t="s">
        <v>299</v>
      </c>
      <c r="N43" s="23"/>
      <c r="O43" s="39">
        <v>21</v>
      </c>
      <c r="P43" s="44" t="s">
        <v>244</v>
      </c>
      <c r="Q43" s="39"/>
      <c r="R43" s="45" t="s">
        <v>195</v>
      </c>
      <c r="S43" s="45">
        <v>300</v>
      </c>
      <c r="T43" s="49" t="s">
        <v>202</v>
      </c>
      <c r="U43" s="35" t="s">
        <v>240</v>
      </c>
      <c r="V43" s="40"/>
      <c r="W43" s="39"/>
      <c r="X43" s="48"/>
    </row>
    <row r="44" spans="2:24" s="1" customFormat="1" ht="16.5" customHeight="1">
      <c r="B44" s="1" t="s">
        <v>297</v>
      </c>
      <c r="C44" s="33"/>
      <c r="D44" s="39">
        <v>22</v>
      </c>
      <c r="E44" s="44" t="s">
        <v>245</v>
      </c>
      <c r="F44" s="39"/>
      <c r="G44" s="45" t="s">
        <v>201</v>
      </c>
      <c r="H44" s="45">
        <v>300</v>
      </c>
      <c r="I44" s="49" t="s">
        <v>202</v>
      </c>
      <c r="J44" s="35" t="s">
        <v>240</v>
      </c>
      <c r="K44" s="46"/>
      <c r="L44" s="47"/>
      <c r="M44" s="47" t="s">
        <v>299</v>
      </c>
      <c r="N44" s="23"/>
      <c r="O44" s="39">
        <v>22</v>
      </c>
      <c r="P44" s="44" t="s">
        <v>245</v>
      </c>
      <c r="Q44" s="39"/>
      <c r="R44" s="45" t="s">
        <v>195</v>
      </c>
      <c r="S44" s="45">
        <v>300</v>
      </c>
      <c r="T44" s="49" t="s">
        <v>202</v>
      </c>
      <c r="U44" s="35" t="s">
        <v>240</v>
      </c>
      <c r="V44" s="40"/>
      <c r="W44" s="39"/>
      <c r="X44" s="48"/>
    </row>
    <row r="45" spans="2:24" s="1" customFormat="1" ht="16.5" customHeight="1">
      <c r="B45" s="1" t="s">
        <v>297</v>
      </c>
      <c r="C45" s="33"/>
      <c r="D45" s="39">
        <v>23</v>
      </c>
      <c r="E45" s="44" t="s">
        <v>246</v>
      </c>
      <c r="F45" s="39"/>
      <c r="G45" s="45" t="s">
        <v>201</v>
      </c>
      <c r="H45" s="45">
        <v>300</v>
      </c>
      <c r="I45" s="49" t="s">
        <v>202</v>
      </c>
      <c r="J45" s="35" t="s">
        <v>240</v>
      </c>
      <c r="K45" s="46"/>
      <c r="L45" s="47"/>
      <c r="M45" s="47" t="s">
        <v>299</v>
      </c>
      <c r="N45" s="23"/>
      <c r="O45" s="39">
        <v>23</v>
      </c>
      <c r="P45" s="44" t="s">
        <v>246</v>
      </c>
      <c r="Q45" s="39"/>
      <c r="R45" s="45" t="s">
        <v>195</v>
      </c>
      <c r="S45" s="45">
        <v>300</v>
      </c>
      <c r="T45" s="49" t="s">
        <v>202</v>
      </c>
      <c r="U45" s="35" t="s">
        <v>240</v>
      </c>
      <c r="V45" s="40"/>
      <c r="W45" s="39"/>
      <c r="X45" s="48"/>
    </row>
    <row r="46" spans="2:24" s="1" customFormat="1" ht="16.5" customHeight="1">
      <c r="B46" s="1" t="s">
        <v>297</v>
      </c>
      <c r="C46" s="33"/>
      <c r="D46" s="39">
        <v>24</v>
      </c>
      <c r="E46" s="44" t="s">
        <v>247</v>
      </c>
      <c r="F46" s="39"/>
      <c r="G46" s="45" t="s">
        <v>201</v>
      </c>
      <c r="H46" s="45">
        <v>300</v>
      </c>
      <c r="I46" s="49" t="s">
        <v>202</v>
      </c>
      <c r="J46" s="35" t="s">
        <v>240</v>
      </c>
      <c r="K46" s="46"/>
      <c r="L46" s="47"/>
      <c r="M46" s="47" t="s">
        <v>299</v>
      </c>
      <c r="N46" s="23"/>
      <c r="O46" s="39">
        <v>24</v>
      </c>
      <c r="P46" s="44" t="s">
        <v>247</v>
      </c>
      <c r="Q46" s="39"/>
      <c r="R46" s="45" t="s">
        <v>195</v>
      </c>
      <c r="S46" s="45">
        <v>300</v>
      </c>
      <c r="T46" s="49" t="s">
        <v>202</v>
      </c>
      <c r="U46" s="35" t="s">
        <v>240</v>
      </c>
      <c r="V46" s="40"/>
      <c r="W46" s="39"/>
      <c r="X46" s="48"/>
    </row>
    <row r="47" spans="2:24" s="1" customFormat="1" ht="16.5" customHeight="1">
      <c r="B47" s="1" t="s">
        <v>297</v>
      </c>
      <c r="C47" s="33"/>
      <c r="D47" s="39">
        <v>25</v>
      </c>
      <c r="E47" s="44" t="s">
        <v>248</v>
      </c>
      <c r="F47" s="39"/>
      <c r="G47" s="45" t="s">
        <v>201</v>
      </c>
      <c r="H47" s="45">
        <v>300</v>
      </c>
      <c r="I47" s="49" t="s">
        <v>202</v>
      </c>
      <c r="J47" s="35" t="s">
        <v>240</v>
      </c>
      <c r="K47" s="46"/>
      <c r="L47" s="47"/>
      <c r="M47" s="47" t="s">
        <v>299</v>
      </c>
      <c r="N47" s="23"/>
      <c r="O47" s="39">
        <v>25</v>
      </c>
      <c r="P47" s="44" t="s">
        <v>248</v>
      </c>
      <c r="Q47" s="39"/>
      <c r="R47" s="45" t="s">
        <v>195</v>
      </c>
      <c r="S47" s="45">
        <v>300</v>
      </c>
      <c r="T47" s="49" t="s">
        <v>202</v>
      </c>
      <c r="U47" s="35" t="s">
        <v>240</v>
      </c>
      <c r="V47" s="40"/>
      <c r="W47" s="39"/>
      <c r="X47" s="48"/>
    </row>
    <row r="48" spans="2:24" s="1" customFormat="1" ht="16.5" customHeight="1">
      <c r="B48" s="1" t="s">
        <v>297</v>
      </c>
      <c r="C48" s="33"/>
      <c r="D48" s="39">
        <v>26</v>
      </c>
      <c r="E48" s="44" t="s">
        <v>249</v>
      </c>
      <c r="F48" s="39"/>
      <c r="G48" s="45" t="s">
        <v>201</v>
      </c>
      <c r="H48" s="45">
        <v>300</v>
      </c>
      <c r="I48" s="49" t="s">
        <v>202</v>
      </c>
      <c r="J48" s="35" t="s">
        <v>240</v>
      </c>
      <c r="K48" s="46"/>
      <c r="L48" s="47"/>
      <c r="M48" s="47" t="s">
        <v>299</v>
      </c>
      <c r="N48" s="23"/>
      <c r="O48" s="39">
        <v>26</v>
      </c>
      <c r="P48" s="44" t="s">
        <v>249</v>
      </c>
      <c r="Q48" s="39"/>
      <c r="R48" s="45" t="s">
        <v>195</v>
      </c>
      <c r="S48" s="45">
        <v>300</v>
      </c>
      <c r="T48" s="49" t="s">
        <v>202</v>
      </c>
      <c r="U48" s="35" t="s">
        <v>240</v>
      </c>
      <c r="V48" s="40"/>
      <c r="W48" s="39"/>
      <c r="X48" s="48"/>
    </row>
    <row r="49" spans="2:24" s="1" customFormat="1" ht="16.5" customHeight="1">
      <c r="B49" s="1" t="s">
        <v>297</v>
      </c>
      <c r="C49" s="33"/>
      <c r="D49" s="39">
        <v>27</v>
      </c>
      <c r="E49" s="44" t="s">
        <v>250</v>
      </c>
      <c r="F49" s="39"/>
      <c r="G49" s="45" t="s">
        <v>213</v>
      </c>
      <c r="H49" s="45"/>
      <c r="I49" s="49" t="s">
        <v>202</v>
      </c>
      <c r="J49" s="35" t="s">
        <v>251</v>
      </c>
      <c r="K49" s="46"/>
      <c r="L49" s="47"/>
      <c r="M49" s="47" t="s">
        <v>299</v>
      </c>
      <c r="N49" s="23"/>
      <c r="O49" s="39">
        <v>27</v>
      </c>
      <c r="P49" s="44" t="s">
        <v>250</v>
      </c>
      <c r="Q49" s="39"/>
      <c r="R49" s="45" t="s">
        <v>215</v>
      </c>
      <c r="S49" s="45"/>
      <c r="T49" s="49" t="s">
        <v>202</v>
      </c>
      <c r="U49" s="35" t="s">
        <v>251</v>
      </c>
      <c r="V49" s="40"/>
      <c r="W49" s="39"/>
      <c r="X49" s="48"/>
    </row>
    <row r="50" spans="2:24" s="1" customFormat="1" ht="16.5" customHeight="1">
      <c r="B50" s="1" t="s">
        <v>297</v>
      </c>
      <c r="C50" s="33"/>
      <c r="D50" s="39">
        <v>28</v>
      </c>
      <c r="E50" s="44" t="s">
        <v>252</v>
      </c>
      <c r="F50" s="39"/>
      <c r="G50" s="45" t="s">
        <v>207</v>
      </c>
      <c r="H50" s="45"/>
      <c r="I50" s="49" t="s">
        <v>202</v>
      </c>
      <c r="J50" s="35" t="s">
        <v>253</v>
      </c>
      <c r="K50" s="46"/>
      <c r="L50" s="47"/>
      <c r="M50" s="47" t="s">
        <v>299</v>
      </c>
      <c r="N50" s="23"/>
      <c r="O50" s="39">
        <v>28</v>
      </c>
      <c r="P50" s="44" t="s">
        <v>252</v>
      </c>
      <c r="Q50" s="39"/>
      <c r="R50" s="45" t="s">
        <v>209</v>
      </c>
      <c r="S50" s="45"/>
      <c r="T50" s="49" t="s">
        <v>202</v>
      </c>
      <c r="U50" s="35" t="s">
        <v>253</v>
      </c>
      <c r="V50" s="40"/>
      <c r="W50" s="39"/>
      <c r="X50" s="48"/>
    </row>
    <row r="51" spans="2:24" s="1" customFormat="1" ht="16.5" customHeight="1">
      <c r="B51" s="1" t="s">
        <v>297</v>
      </c>
      <c r="C51" s="33"/>
      <c r="D51" s="39">
        <v>29</v>
      </c>
      <c r="E51" s="44" t="s">
        <v>254</v>
      </c>
      <c r="F51" s="39"/>
      <c r="G51" s="45" t="s">
        <v>213</v>
      </c>
      <c r="H51" s="45"/>
      <c r="I51" s="49" t="s">
        <v>202</v>
      </c>
      <c r="J51" s="35" t="s">
        <v>255</v>
      </c>
      <c r="K51" s="46"/>
      <c r="L51" s="47"/>
      <c r="M51" s="47" t="s">
        <v>299</v>
      </c>
      <c r="N51" s="23"/>
      <c r="O51" s="39">
        <v>29</v>
      </c>
      <c r="P51" s="44" t="s">
        <v>254</v>
      </c>
      <c r="Q51" s="39"/>
      <c r="R51" s="45" t="s">
        <v>215</v>
      </c>
      <c r="S51" s="45"/>
      <c r="T51" s="49" t="s">
        <v>202</v>
      </c>
      <c r="U51" s="35" t="s">
        <v>255</v>
      </c>
      <c r="V51" s="40"/>
      <c r="W51" s="39"/>
      <c r="X51" s="48"/>
    </row>
    <row r="52" spans="2:24" s="1" customFormat="1" ht="16.5" customHeight="1">
      <c r="B52" s="1" t="s">
        <v>297</v>
      </c>
      <c r="C52" s="33"/>
      <c r="D52" s="39">
        <v>30</v>
      </c>
      <c r="E52" s="44" t="s">
        <v>256</v>
      </c>
      <c r="F52" s="39"/>
      <c r="G52" s="45" t="s">
        <v>207</v>
      </c>
      <c r="H52" s="45"/>
      <c r="I52" s="49" t="s">
        <v>202</v>
      </c>
      <c r="J52" s="35" t="s">
        <v>257</v>
      </c>
      <c r="K52" s="46"/>
      <c r="L52" s="47"/>
      <c r="M52" s="47" t="s">
        <v>299</v>
      </c>
      <c r="N52" s="23"/>
      <c r="O52" s="39">
        <v>30</v>
      </c>
      <c r="P52" s="44" t="s">
        <v>256</v>
      </c>
      <c r="Q52" s="39"/>
      <c r="R52" s="45" t="s">
        <v>209</v>
      </c>
      <c r="S52" s="45"/>
      <c r="T52" s="49" t="s">
        <v>202</v>
      </c>
      <c r="U52" s="35" t="s">
        <v>257</v>
      </c>
      <c r="V52" s="40"/>
      <c r="W52" s="39"/>
      <c r="X52" s="48"/>
    </row>
    <row r="53" spans="2:24" s="1" customFormat="1" ht="16.5" customHeight="1">
      <c r="B53" s="1" t="s">
        <v>297</v>
      </c>
      <c r="C53" s="50"/>
      <c r="D53" s="39">
        <v>31</v>
      </c>
      <c r="E53" t="s">
        <v>258</v>
      </c>
      <c r="F53" s="22"/>
      <c r="G53" s="45" t="s">
        <v>201</v>
      </c>
      <c r="H53" s="24">
        <v>1</v>
      </c>
      <c r="I53" s="51"/>
      <c r="J53" s="52" t="s">
        <v>259</v>
      </c>
      <c r="K53" s="35"/>
      <c r="L53" s="47"/>
      <c r="M53" s="47"/>
      <c r="N53" s="21"/>
      <c r="O53" s="39"/>
      <c r="P53"/>
      <c r="Q53" s="22"/>
      <c r="R53" s="45"/>
      <c r="S53" s="24"/>
      <c r="T53" s="51"/>
      <c r="U53" s="52"/>
      <c r="V53" s="40"/>
      <c r="W53" s="39"/>
      <c r="X53" s="48"/>
    </row>
    <row r="54" spans="2:24" s="1" customFormat="1" ht="16.5" customHeight="1">
      <c r="B54" s="1" t="s">
        <v>297</v>
      </c>
      <c r="C54" s="50"/>
      <c r="D54" s="39">
        <v>32</v>
      </c>
      <c r="E54" s="48" t="s">
        <v>260</v>
      </c>
      <c r="F54" s="48"/>
      <c r="G54" s="45" t="s">
        <v>201</v>
      </c>
      <c r="H54" s="53">
        <v>36</v>
      </c>
      <c r="I54" s="51"/>
      <c r="J54" s="52" t="s">
        <v>261</v>
      </c>
      <c r="K54" s="35"/>
      <c r="L54" s="47"/>
      <c r="M54" s="47"/>
      <c r="N54" s="21"/>
      <c r="O54" s="39"/>
      <c r="P54" s="48"/>
      <c r="Q54" s="48"/>
      <c r="R54" s="45"/>
      <c r="S54" s="53"/>
      <c r="T54" s="51"/>
      <c r="U54" s="52"/>
      <c r="V54" s="40"/>
      <c r="W54" s="39"/>
      <c r="X54" s="48"/>
    </row>
    <row r="55" spans="2:24" s="1" customFormat="1" ht="16.5" customHeight="1">
      <c r="B55" s="1" t="s">
        <v>297</v>
      </c>
      <c r="C55" s="50"/>
      <c r="D55" s="39">
        <v>33</v>
      </c>
      <c r="E55" s="48" t="s">
        <v>262</v>
      </c>
      <c r="F55" s="48"/>
      <c r="G55" s="45" t="s">
        <v>213</v>
      </c>
      <c r="H55" s="53"/>
      <c r="I55" s="48"/>
      <c r="J55" s="52" t="s">
        <v>263</v>
      </c>
      <c r="K55" s="35"/>
      <c r="L55" s="47"/>
      <c r="M55" s="47"/>
      <c r="N55" s="21"/>
      <c r="O55" s="39"/>
      <c r="P55" s="48"/>
      <c r="Q55" s="48"/>
      <c r="R55" s="45"/>
      <c r="S55" s="53"/>
      <c r="T55" s="48"/>
      <c r="U55" s="52"/>
      <c r="V55" s="40"/>
      <c r="W55" s="39"/>
      <c r="X55" s="48"/>
    </row>
    <row r="56" spans="2:24" s="1" customFormat="1" ht="16.5" customHeight="1">
      <c r="C56" s="50"/>
      <c r="D56" s="39"/>
      <c r="E56" s="44"/>
      <c r="F56" s="39"/>
      <c r="G56" s="45"/>
      <c r="H56" s="54"/>
      <c r="I56" s="49"/>
      <c r="J56" s="35"/>
      <c r="K56" s="35"/>
      <c r="L56" s="47"/>
      <c r="M56" s="47"/>
      <c r="N56" s="21"/>
      <c r="O56" s="39"/>
      <c r="P56" s="44"/>
      <c r="Q56" s="39"/>
      <c r="R56" s="45"/>
      <c r="S56" s="54"/>
      <c r="T56" s="49"/>
      <c r="U56" s="35"/>
      <c r="V56" s="40"/>
      <c r="W56" s="39"/>
      <c r="X56" s="48"/>
    </row>
    <row r="57" spans="2:24" s="1" customFormat="1" ht="16.5" customHeight="1">
      <c r="B57" s="1" t="s">
        <v>298</v>
      </c>
      <c r="C57" s="55" t="s">
        <v>264</v>
      </c>
      <c r="D57" s="39">
        <v>1</v>
      </c>
      <c r="E57" s="44" t="s">
        <v>265</v>
      </c>
      <c r="F57" s="39"/>
      <c r="G57" s="45" t="s">
        <v>201</v>
      </c>
      <c r="H57" s="56">
        <v>50</v>
      </c>
      <c r="I57" s="49"/>
      <c r="J57" s="35" t="s">
        <v>266</v>
      </c>
      <c r="K57" s="35"/>
      <c r="L57" s="47"/>
      <c r="M57" s="47"/>
      <c r="N57" s="21"/>
      <c r="O57" s="39"/>
      <c r="P57" s="44"/>
      <c r="Q57" s="39"/>
      <c r="R57" s="45"/>
      <c r="S57" s="54"/>
      <c r="T57" s="49"/>
      <c r="U57" s="35"/>
      <c r="V57" s="40"/>
      <c r="W57" s="39"/>
      <c r="X57" s="48"/>
    </row>
    <row r="58" spans="2:24" s="1" customFormat="1" ht="16.5" customHeight="1">
      <c r="B58" s="1" t="s">
        <v>298</v>
      </c>
      <c r="C58" s="50"/>
      <c r="D58" s="39">
        <v>2</v>
      </c>
      <c r="E58" s="44" t="s">
        <v>267</v>
      </c>
      <c r="F58" s="39"/>
      <c r="G58" s="45" t="s">
        <v>201</v>
      </c>
      <c r="H58" s="56">
        <v>250</v>
      </c>
      <c r="I58" s="49"/>
      <c r="J58" s="35" t="s">
        <v>268</v>
      </c>
      <c r="K58" s="35"/>
      <c r="L58" s="47"/>
      <c r="M58" s="47"/>
      <c r="N58" s="21"/>
      <c r="O58" s="39"/>
      <c r="P58" s="44"/>
      <c r="Q58" s="39"/>
      <c r="R58" s="45"/>
      <c r="S58" s="54"/>
      <c r="T58" s="49"/>
      <c r="U58" s="35"/>
      <c r="V58" s="40"/>
      <c r="W58" s="39"/>
      <c r="X58" s="48"/>
    </row>
    <row r="59" spans="2:24" s="1" customFormat="1" ht="16.5" customHeight="1">
      <c r="B59" s="1" t="s">
        <v>298</v>
      </c>
      <c r="C59" s="50"/>
      <c r="D59" s="39">
        <v>3</v>
      </c>
      <c r="E59" s="44" t="s">
        <v>269</v>
      </c>
      <c r="F59" s="39"/>
      <c r="G59" s="45" t="s">
        <v>201</v>
      </c>
      <c r="H59" s="56">
        <v>250</v>
      </c>
      <c r="I59" s="49"/>
      <c r="J59" s="35" t="s">
        <v>270</v>
      </c>
      <c r="K59" s="35"/>
      <c r="L59" s="47"/>
      <c r="M59" s="47"/>
      <c r="N59" s="21"/>
      <c r="O59" s="39"/>
      <c r="P59" s="44"/>
      <c r="Q59" s="39"/>
      <c r="R59" s="45"/>
      <c r="S59" s="54"/>
      <c r="T59" s="49"/>
      <c r="U59" s="35"/>
      <c r="V59" s="40"/>
      <c r="W59" s="39"/>
      <c r="X59" s="48"/>
    </row>
    <row r="60" spans="2:24" s="1" customFormat="1" ht="16.5" customHeight="1">
      <c r="B60" s="1" t="s">
        <v>298</v>
      </c>
      <c r="C60" s="50"/>
      <c r="D60" s="39">
        <v>4</v>
      </c>
      <c r="E60" s="44" t="s">
        <v>271</v>
      </c>
      <c r="F60" s="39"/>
      <c r="G60" s="45" t="s">
        <v>201</v>
      </c>
      <c r="H60" s="56">
        <v>250</v>
      </c>
      <c r="I60" s="49"/>
      <c r="J60" s="35" t="s">
        <v>272</v>
      </c>
      <c r="K60" s="35"/>
      <c r="L60" s="47"/>
      <c r="M60" s="47"/>
      <c r="N60" s="21"/>
      <c r="O60" s="39"/>
      <c r="P60" s="44"/>
      <c r="Q60" s="39"/>
      <c r="R60" s="45"/>
      <c r="S60" s="54"/>
      <c r="T60" s="49"/>
      <c r="U60" s="35"/>
      <c r="V60" s="40"/>
      <c r="W60" s="39"/>
      <c r="X60" s="48"/>
    </row>
    <row r="61" spans="2:24" s="1" customFormat="1" ht="16.5" customHeight="1">
      <c r="B61" s="1" t="s">
        <v>298</v>
      </c>
      <c r="C61" s="50"/>
      <c r="D61" s="39">
        <v>5</v>
      </c>
      <c r="E61" s="44" t="s">
        <v>273</v>
      </c>
      <c r="F61" s="39"/>
      <c r="G61" s="45" t="s">
        <v>201</v>
      </c>
      <c r="H61" s="56">
        <v>250</v>
      </c>
      <c r="I61" s="49"/>
      <c r="J61" s="35" t="s">
        <v>274</v>
      </c>
      <c r="K61" s="35"/>
      <c r="L61" s="47"/>
      <c r="M61" s="47"/>
      <c r="N61" s="21"/>
      <c r="O61" s="39"/>
      <c r="P61" s="44"/>
      <c r="Q61" s="39"/>
      <c r="R61" s="45"/>
      <c r="S61" s="54"/>
      <c r="T61" s="49"/>
      <c r="U61" s="35"/>
      <c r="V61" s="40"/>
      <c r="W61" s="39"/>
      <c r="X61" s="48"/>
    </row>
    <row r="62" spans="2:24" s="1" customFormat="1" ht="16.5" customHeight="1">
      <c r="B62" s="1" t="s">
        <v>298</v>
      </c>
      <c r="C62" s="50"/>
      <c r="D62" s="39">
        <v>6</v>
      </c>
      <c r="E62" s="44" t="s">
        <v>275</v>
      </c>
      <c r="F62" s="39"/>
      <c r="G62" s="45" t="s">
        <v>201</v>
      </c>
      <c r="H62" s="56" t="s">
        <v>276</v>
      </c>
      <c r="I62" s="49"/>
      <c r="J62" s="35" t="s">
        <v>277</v>
      </c>
      <c r="K62" s="35"/>
      <c r="L62" s="47"/>
      <c r="M62" s="47"/>
      <c r="N62" s="21"/>
      <c r="O62" s="39"/>
      <c r="P62" s="44"/>
      <c r="Q62" s="39"/>
      <c r="R62" s="45"/>
      <c r="S62" s="54"/>
      <c r="T62" s="49"/>
      <c r="U62" s="35"/>
      <c r="V62" s="40"/>
      <c r="W62" s="39"/>
      <c r="X62" s="48"/>
    </row>
    <row r="63" spans="2:24" s="1" customFormat="1" ht="16.5" customHeight="1">
      <c r="B63" s="1" t="s">
        <v>298</v>
      </c>
      <c r="C63" s="50"/>
      <c r="D63" s="39">
        <v>7</v>
      </c>
      <c r="E63" s="44" t="s">
        <v>278</v>
      </c>
      <c r="F63" s="39"/>
      <c r="G63" s="45" t="s">
        <v>201</v>
      </c>
      <c r="H63" s="54">
        <v>100</v>
      </c>
      <c r="I63" s="49"/>
      <c r="J63" s="31" t="s">
        <v>279</v>
      </c>
      <c r="K63" s="35"/>
      <c r="L63" s="47"/>
      <c r="M63" s="47"/>
      <c r="N63" s="21"/>
      <c r="O63" s="39"/>
      <c r="P63" s="44"/>
      <c r="Q63" s="39"/>
      <c r="R63" s="45"/>
      <c r="S63" s="54"/>
      <c r="T63" s="49"/>
      <c r="U63" s="35"/>
      <c r="V63" s="40"/>
      <c r="W63" s="39"/>
      <c r="X63" s="48"/>
    </row>
    <row r="64" spans="2:24" s="1" customFormat="1" ht="16.5" customHeight="1">
      <c r="B64" s="1" t="s">
        <v>298</v>
      </c>
      <c r="C64" s="50"/>
      <c r="D64" s="39">
        <v>8</v>
      </c>
      <c r="E64" s="44" t="s">
        <v>280</v>
      </c>
      <c r="F64" s="39"/>
      <c r="G64" s="45" t="s">
        <v>201</v>
      </c>
      <c r="H64" s="56" t="s">
        <v>276</v>
      </c>
      <c r="I64" s="49"/>
      <c r="J64" s="31" t="s">
        <v>281</v>
      </c>
      <c r="K64" s="35"/>
      <c r="L64" s="47"/>
      <c r="M64" s="47"/>
      <c r="N64" s="21"/>
      <c r="O64" s="39"/>
      <c r="P64" s="44"/>
      <c r="Q64" s="39"/>
      <c r="R64" s="45"/>
      <c r="S64" s="35"/>
      <c r="T64" s="34"/>
      <c r="U64" s="57"/>
      <c r="V64" s="40"/>
      <c r="W64" s="39"/>
      <c r="X64" s="48"/>
    </row>
    <row r="65" spans="2:24" s="1" customFormat="1" ht="16.5" customHeight="1">
      <c r="B65" s="1" t="s">
        <v>298</v>
      </c>
      <c r="C65" s="50"/>
      <c r="D65" s="39">
        <v>9</v>
      </c>
      <c r="E65" s="44" t="s">
        <v>282</v>
      </c>
      <c r="F65" s="39"/>
      <c r="G65" s="45" t="s">
        <v>201</v>
      </c>
      <c r="H65" s="54">
        <v>250</v>
      </c>
      <c r="I65" s="49"/>
      <c r="J65" s="31" t="s">
        <v>283</v>
      </c>
      <c r="K65" s="35"/>
      <c r="L65" s="47"/>
      <c r="M65" s="47"/>
      <c r="N65" s="21"/>
      <c r="O65" s="39"/>
      <c r="P65" s="35"/>
      <c r="Q65" s="39"/>
      <c r="R65" s="40"/>
      <c r="S65" s="40"/>
      <c r="T65" s="34"/>
      <c r="U65" s="35"/>
      <c r="V65" s="40"/>
      <c r="W65" s="39"/>
      <c r="X65" s="48"/>
    </row>
    <row r="66" spans="2:24" s="1" customFormat="1">
      <c r="D66" s="4"/>
      <c r="G66" s="2"/>
      <c r="J66" s="5"/>
      <c r="L66" s="6"/>
      <c r="M66" s="6"/>
      <c r="O66" s="4"/>
      <c r="R66" s="2"/>
      <c r="U66" s="5"/>
      <c r="W66" s="6"/>
    </row>
    <row r="67" spans="2:24" ht="227.25" customHeight="1">
      <c r="C67" s="59" t="s">
        <v>284</v>
      </c>
      <c r="D67" s="123" t="s">
        <v>285</v>
      </c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5"/>
    </row>
    <row r="68" spans="2:24" ht="172.5" customHeight="1">
      <c r="C68" s="15" t="s">
        <v>293</v>
      </c>
      <c r="D68" s="134" t="s">
        <v>294</v>
      </c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6"/>
    </row>
  </sheetData>
  <mergeCells count="48">
    <mergeCell ref="D68:X68"/>
    <mergeCell ref="D67:X67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53:I54 T53:T54">
      <formula1>$O$3:$O$4</formula1>
    </dataValidation>
    <dataValidation type="list" allowBlank="1" showInputMessage="1" showErrorMessage="1" sqref="G11:M11">
      <formula1>$C$3:$C$64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I56 T56:T65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I57:I65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I23:I52 T23:T52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2.xml><?xml version="1.0" encoding="utf-8"?>
<ds:datastoreItem xmlns:ds="http://schemas.openxmlformats.org/officeDocument/2006/customXml" ds:itemID="{9E4297DF-E641-4F2F-A8D0-4FB232B51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IF_SRD_DPS_ERP_0077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2022-09-16T08:44:31Z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