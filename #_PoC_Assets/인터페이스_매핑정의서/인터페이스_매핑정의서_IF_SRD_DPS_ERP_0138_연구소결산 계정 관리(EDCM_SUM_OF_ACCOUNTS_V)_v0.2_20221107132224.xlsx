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fs1\5.Project\01.개발목록\04. 최종검토 완료\02.박현아\"/>
    </mc:Choice>
  </mc:AlternateContent>
  <bookViews>
    <workbookView xWindow="0" yWindow="0" windowWidth="38400" windowHeight="12285" tabRatio="836" activeTab="2"/>
  </bookViews>
  <sheets>
    <sheet name="변경이력관리" sheetId="2" r:id="rId1"/>
    <sheet name="Code" sheetId="8" state="hidden" r:id="rId2"/>
    <sheet name="IF_SRD_DPS_ERP_0138" sheetId="5" r:id="rId3"/>
  </sheets>
  <externalReferences>
    <externalReference r:id="rId4"/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1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1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44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Join 및 함수 사용으로 sql query 참조</t>
        </r>
      </text>
    </comment>
    <comment ref="C4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<sst xmlns="http://schemas.openxmlformats.org/spreadsheetml/2006/main" count="397" uniqueCount="256">
  <si>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</si>
  <si>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</si>
  <si>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</si>
  <si>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</si>
  <si>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</si>
  <si>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</si>
  <si>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</si>
  <si>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</si>
  <si>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</si>
  <si>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</si>
  <si>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</si>
  <si>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</si>
  <si>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</si>
  <si>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</si>
  <si>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</si>
  <si>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</si>
  <si>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</si>
  <si>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</si>
  <si>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</si>
  <si>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</si>
  <si>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</si>
  <si>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</si>
  <si>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</si>
  <si>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</si>
  <si>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</si>
  <si>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</si>
  <si>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</si>
  <si>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</si>
  <si>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</si>
  <si>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</si>
  <si>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</si>
  <si>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</si>
  <si>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</si>
  <si>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</si>
  <si>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</si>
  <si>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</si>
  <si>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</si>
  <si>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</si>
  <si>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</si>
  <si>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</si>
  <si>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</si>
  <si>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</si>
  <si>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</si>
  <si>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</si>
  <si>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</si>
  <si>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</si>
  <si>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</si>
  <si>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</si>
  <si>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</si>
  <si>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</si>
  <si>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</si>
  <si>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</si>
  <si>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</si>
  <si>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</si>
  <si>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</si>
  <si>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</si>
  <si>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</si>
  <si>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</si>
  <si>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</si>
  <si>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</si>
  <si>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</si>
  <si>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</si>
  <si>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</si>
  <si>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</si>
  <si>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</si>
  <si>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</si>
  <si>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</si>
  <si>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</si>
  <si>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</si>
  <si>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</si>
  <si>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</si>
  <si>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</si>
  <si>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</si>
  <si>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</si>
  <si>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</si>
  <si>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</si>
  <si>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</si>
  <si>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</si>
  <si>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</si>
  <si>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</si>
  <si>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</si>
  <si>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</si>
  <si>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</si>
  <si>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</si>
  <si>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</si>
  <si>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</si>
  <si>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</si>
  <si>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</si>
  <si>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</si>
  <si>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</si>
  <si>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</si>
  <si>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</si>
  <si>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</si>
  <si>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</si>
  <si>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</si>
  <si>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</si>
  <si>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</si>
  <si>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</si>
  <si>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</si>
  <si>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</si>
  <si>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</si>
  <si>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</si>
  <si>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</si>
  <si>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</si>
  <si>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</si>
  <si>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</si>
  <si>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</si>
  <si>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</si>
  <si>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</si>
  <si>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</si>
  <si>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</si>
  <si>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</si>
  <si>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</si>
  <si>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</si>
  <si>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</si>
  <si>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</si>
  <si>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</si>
  <si>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</si>
  <si>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</si>
  <si>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</si>
  <si>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</si>
  <si>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</si>
  <si>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</si>
  <si>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</si>
  <si>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</si>
  <si>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</si>
  <si>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</si>
  <si>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</si>
  <si>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</si>
  <si>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</si>
  <si>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</si>
  <si>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</si>
  <si>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</si>
  <si>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</si>
  <si>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</si>
  <si>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</si>
  <si>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</si>
  <si>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</si>
  <si>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</si>
  <si>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</si>
  <si>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</si>
  <si>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</si>
  <si>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</si>
  <si>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</si>
  <si>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</si>
  <si>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</si>
  <si>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</si>
  <si>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</si>
  <si>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</si>
  <si>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</si>
  <si>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</si>
  <si>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</si>
  <si>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</si>
  <si>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</si>
  <si>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</si>
  <si>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</si>
  <si>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</si>
  <si>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연구소결산 계정 관리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</si>
  <si>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</si>
  <si>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</si>
  <si>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</si>
  <si>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</si>
  <si>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</si>
  <si>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</si>
  <si>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</si>
  <si>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</si>
  <si>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</si>
  <si>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</si>
  <si>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</si>
  <si>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</si>
  <si>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</si>
  <si>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전체 삭제 후 적재)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</si>
  <si>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</si>
  <si>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</si>
  <si>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</si>
  <si>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</si>
  <si>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</si>
  <si>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</si>
  <si>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</si>
  <si>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</si>
  <si>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EDCM</t>
    <phoneticPr fontId="2" type="noConversion"/>
  </si>
  <si>
    <t>Object</t>
    <phoneticPr fontId="2" type="noConversion"/>
  </si>
  <si>
    <t>EDCM_SUM_OF_ACCOUNTS_V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</si>
  <si>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</si>
  <si>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</si>
  <si>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</si>
  <si>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</si>
  <si>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</si>
  <si>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</si>
  <si>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</si>
  <si>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</si>
  <si>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</si>
  <si>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</si>
  <si>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</si>
  <si>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Field</t>
    <phoneticPr fontId="2" type="noConversion"/>
  </si>
  <si>
    <t>ITEM_CLASS</t>
  </si>
  <si>
    <t>NVARCHAR</t>
  </si>
  <si>
    <t>항목분류</t>
  </si>
  <si>
    <t>VARCHAR2</t>
    <phoneticPr fontId="2" type="noConversion"/>
  </si>
  <si>
    <t>ITEM_CODE</t>
  </si>
  <si>
    <t>항목코드</t>
  </si>
  <si>
    <t>ACCOUNT_LEVEL</t>
  </si>
  <si>
    <t>Account level</t>
  </si>
  <si>
    <t>ACCOUNT_CODE</t>
  </si>
  <si>
    <t>SIGN</t>
  </si>
  <si>
    <t>금액계산구분</t>
  </si>
  <si>
    <t>AMOUNT_SIGN</t>
  </si>
  <si>
    <t>FLOAT</t>
  </si>
  <si>
    <t>금액부호</t>
  </si>
  <si>
    <t>NUMBER</t>
  </si>
  <si>
    <t>MEANING</t>
  </si>
  <si>
    <t>계정정의구분</t>
  </si>
  <si>
    <t>ENABLED_FLAG</t>
  </si>
  <si>
    <t>사용여부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</si>
  <si>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</si>
  <si>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</si>
  <si>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</si>
  <si>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</si>
  <si>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</si>
  <si>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DATETIME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</si>
  <si>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</si>
  <si>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</si>
  <si>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</si>
  <si>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</si>
  <si>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</si>
  <si>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</si>
  <si>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</si>
  <si>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</si>
  <si>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</si>
  <si>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</si>
  <si>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</si>
  <si>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</si>
  <si>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</si>
  <si>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</si>
  <si>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</si>
  <si>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</si>
  <si>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</si>
  <si>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</si>
  <si>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</si>
  <si>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</si>
  <si>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</si>
  <si>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</si>
  <si>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>REST</t>
    <phoneticPr fontId="2" type="noConversion"/>
  </si>
  <si>
    <t>EDCM_SUM_OF_ACCOUNTS_V</t>
    <phoneticPr fontId="2" type="noConversion"/>
  </si>
  <si>
    <t xml:space="preserve">SELECT
    ITEM_CLASS,
    ITEM_CODE,
    ACCOUNT_LEVEL,
    ACCOUNT_CODE,
    SIGN,
    AMOUNT_SIGN,
    MEANING,
    ENABLED_FLAG
FROM
    EDCM_SUM_OF_ACCOUNTS_V
     </t>
    <phoneticPr fontId="2" type="noConversion"/>
  </si>
  <si>
    <t>IF_SRD_DPS_ERP_0138</t>
    <phoneticPr fontId="2" type="noConversion"/>
  </si>
  <si>
    <t>SQL Query
(EAI 사용)</t>
    <phoneticPr fontId="2" type="noConversion"/>
  </si>
  <si>
    <t>EAI시스템</t>
  </si>
  <si>
    <t>2022.09.30</t>
    <phoneticPr fontId="2" type="noConversion"/>
  </si>
  <si>
    <t>박현아</t>
  </si>
  <si>
    <t>EAI 사용 쿼리 추가</t>
    <phoneticPr fontId="2" type="noConversion"/>
  </si>
  <si>
    <t>SELECT /*IF_SRD_DPS_ERP_0138 연구소결산 계정 관리*/
 ITEM_CLASS, 
 ITEM_CODE, 
 ACCOUNT_LEVEL, 
 ACCOUNT_CODE, 
 SIGN, 
 TO_CHAR(AMOUNT_SIGN) AMOUNT_SIGN, 
 MEANING, 
 ENABLED_FLAG
FROM APPS.EDCM_SUM_OF_ACCOUNTS_V</t>
    <phoneticPr fontId="2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</si>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</sst>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46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5" fillId="2" borderId="31" xfId="0" applyFont="1" applyFill="1" applyBorder="1" applyAlignment="1">
      <alignment horizontal="left" vertical="center" wrapText="1"/>
    </xf>
    <xf numFmtId="0" fontId="28" fillId="0" borderId="31" xfId="0" applyFont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25" fillId="0" borderId="31" xfId="6" applyFont="1" applyBorder="1" applyAlignment="1">
      <alignment horizontal="left" vertic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0" fillId="0" borderId="31" xfId="0" applyBorder="1" applyAlignment="1">
      <alignment horizontal="center"/>
    </xf>
    <xf numFmtId="0" fontId="29" fillId="0" borderId="31" xfId="0" applyFont="1" applyBorder="1">
      <alignment vertical="center"/>
    </xf>
    <xf numFmtId="0" fontId="25" fillId="0" borderId="31" xfId="6" applyFont="1" applyBorder="1" applyAlignment="1">
      <alignment horizontal="right" vertical="center"/>
    </xf>
    <xf numFmtId="0" fontId="7" fillId="8" borderId="31" xfId="0" applyFont="1" applyFill="1" applyBorder="1" applyAlignment="1">
      <alignment horizontal="left" vertical="center"/>
    </xf>
    <xf numFmtId="0" fontId="12" fillId="5" borderId="35" xfId="1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5" fillId="3" borderId="0" xfId="5" applyFont="1" applyFill="1" applyAlignment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6" borderId="36" xfId="1" applyFont="1" applyFill="1" applyBorder="1" applyAlignment="1">
      <alignment horizontal="left" vertical="top" wrapText="1"/>
    </xf>
    <xf numFmtId="0" fontId="12" fillId="6" borderId="33" xfId="1" applyFont="1" applyFill="1" applyBorder="1" applyAlignment="1">
      <alignment horizontal="left" vertical="top" wrapText="1"/>
    </xf>
    <xf numFmtId="0" fontId="12" fillId="6" borderId="37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7" fillId="9" borderId="18" xfId="7" applyFont="1" applyFill="1" applyBorder="1" applyAlignment="1">
      <alignment horizontal="left" vertical="center" wrapText="1"/>
    </xf>
    <xf numFmtId="0" fontId="11" fillId="9" borderId="19" xfId="1" applyFont="1" applyFill="1" applyBorder="1" applyAlignment="1">
      <alignment horizontal="center" vertical="center" wrapText="1"/>
    </xf>
    <xf numFmtId="0" fontId="11" fillId="9" borderId="20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12" fillId="6" borderId="3" xfId="1" applyFont="1" applyFill="1" applyBorder="1" applyAlignment="1">
      <alignment horizontal="left" vertical="top" wrapText="1"/>
    </xf>
    <xf numFmtId="0" fontId="12" fillId="6" borderId="16" xfId="1" applyFont="1" applyFill="1" applyBorder="1" applyAlignment="1">
      <alignment horizontal="left" vertical="top" wrapText="1"/>
    </xf>
    <xf numFmtId="0" fontId="12" fillId="6" borderId="4" xfId="1" applyFont="1" applyFill="1" applyBorder="1" applyAlignment="1">
      <alignment horizontal="left" vertical="top" wrapText="1"/>
    </xf>
    <xf numFmtId="0" fontId="14" fillId="2" borderId="3" xfId="5" quotePrefix="1" applyFont="1" applyFill="1" applyBorder="1" applyAlignment="1">
      <alignment horizontal="left" vertical="center" wrapText="1"/>
    </xf>
    <xf numFmtId="0" fontId="13" fillId="5" borderId="38" xfId="1" applyFont="1" applyFill="1" applyBorder="1" applyAlignment="1">
      <alignment horizontal="center" vertical="center" wrapText="1"/>
    </xf>
    <xf numFmtId="0" fontId="7" fillId="6" borderId="38" xfId="0" applyFont="1" applyFill="1" applyBorder="1" applyAlignment="1">
      <alignment horizontal="center" vertical="center" wrapText="1"/>
    </xf>
    <xf numFmtId="0" fontId="10" fillId="2" borderId="38" xfId="1" applyFont="1" applyFill="1" applyBorder="1" applyAlignment="1">
      <alignment horizontal="center" vertical="center" wrapText="1"/>
    </xf>
    <xf numFmtId="0" fontId="21" fillId="5" borderId="39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center" wrapText="1"/>
    </xf>
    <xf numFmtId="0" fontId="10" fillId="6" borderId="39" xfId="1" applyFont="1" applyFill="1" applyBorder="1" applyAlignment="1">
      <alignment horizontal="center" vertical="center" wrapText="1"/>
    </xf>
    <xf numFmtId="0" fontId="12" fillId="5" borderId="40" xfId="1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12" fillId="5" borderId="39" xfId="1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M30" sqref="M30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60" t="s">
        <v>4</v>
      </c>
      <c r="C5" s="61"/>
      <c r="D5" s="62" t="s">
        <v>5</v>
      </c>
      <c r="E5" s="61"/>
      <c r="F5" s="62" t="s">
        <v>1</v>
      </c>
      <c r="G5" s="63"/>
      <c r="H5" s="63"/>
      <c r="I5" s="63"/>
      <c r="J5" s="61"/>
      <c r="K5" s="62" t="s">
        <v>6</v>
      </c>
      <c r="L5" s="64"/>
      <c r="M5" s="9"/>
      <c r="N5" s="60" t="s">
        <v>4</v>
      </c>
      <c r="O5" s="61"/>
      <c r="P5" s="62" t="s">
        <v>5</v>
      </c>
      <c r="Q5" s="61"/>
      <c r="R5" s="62" t="s">
        <v>1</v>
      </c>
      <c r="S5" s="63"/>
      <c r="T5" s="63"/>
      <c r="U5" s="63"/>
      <c r="V5" s="61"/>
      <c r="W5" s="62" t="s">
        <v>6</v>
      </c>
      <c r="X5" s="64"/>
    </row>
    <row r="6" spans="1:24" x14ac:dyDescent="0.3">
      <c r="A6" s="9"/>
      <c r="B6" s="65"/>
      <c r="C6" s="66"/>
      <c r="D6" s="67"/>
      <c r="E6" s="66"/>
      <c r="F6" s="68" t="s">
        <v>7</v>
      </c>
      <c r="G6" s="69"/>
      <c r="H6" s="69"/>
      <c r="I6" s="69"/>
      <c r="J6" s="70"/>
      <c r="K6" s="67">
        <v>0.1</v>
      </c>
      <c r="L6" s="71"/>
      <c r="M6" s="9"/>
      <c r="N6" s="65" t="s">
        <v>8</v>
      </c>
      <c r="O6" s="66"/>
      <c r="P6" s="67" t="s">
        <v>9</v>
      </c>
      <c r="Q6" s="66"/>
      <c r="R6" s="68" t="s">
        <v>7</v>
      </c>
      <c r="S6" s="69"/>
      <c r="T6" s="69"/>
      <c r="U6" s="69"/>
      <c r="V6" s="70"/>
      <c r="W6" s="67">
        <v>0.1</v>
      </c>
      <c r="X6" s="71"/>
    </row>
    <row r="7" spans="1:24" x14ac:dyDescent="0.3">
      <c r="A7" s="9"/>
      <c r="B7" s="65"/>
      <c r="C7" s="66"/>
      <c r="D7" s="67"/>
      <c r="E7" s="66"/>
      <c r="F7" s="68"/>
      <c r="G7" s="69"/>
      <c r="H7" s="69"/>
      <c r="I7" s="69"/>
      <c r="J7" s="70"/>
      <c r="K7" s="67"/>
      <c r="L7" s="71"/>
      <c r="M7" s="9"/>
      <c r="N7" s="65"/>
      <c r="O7" s="66"/>
      <c r="P7" s="67"/>
      <c r="Q7" s="66"/>
      <c r="R7" s="72"/>
      <c r="S7" s="69"/>
      <c r="T7" s="69"/>
      <c r="U7" s="69"/>
      <c r="V7" s="70"/>
      <c r="W7" s="67"/>
      <c r="X7" s="71"/>
    </row>
    <row r="8" spans="1:24" x14ac:dyDescent="0.3">
      <c r="A8" s="9"/>
      <c r="B8" s="65"/>
      <c r="C8" s="66"/>
      <c r="D8" s="67"/>
      <c r="E8" s="66"/>
      <c r="F8" s="72"/>
      <c r="G8" s="69"/>
      <c r="H8" s="69"/>
      <c r="I8" s="69"/>
      <c r="J8" s="70"/>
      <c r="K8" s="73"/>
      <c r="L8" s="74"/>
      <c r="M8" s="9"/>
      <c r="N8" s="65"/>
      <c r="O8" s="66"/>
      <c r="P8" s="67"/>
      <c r="Q8" s="66"/>
      <c r="R8" s="72"/>
      <c r="S8" s="69"/>
      <c r="T8" s="69"/>
      <c r="U8" s="69"/>
      <c r="V8" s="70"/>
      <c r="W8" s="73"/>
      <c r="X8" s="74"/>
    </row>
    <row r="9" spans="1:24" x14ac:dyDescent="0.3">
      <c r="A9" s="9"/>
      <c r="B9" s="65"/>
      <c r="C9" s="66"/>
      <c r="D9" s="67"/>
      <c r="E9" s="66"/>
      <c r="F9" s="72"/>
      <c r="G9" s="69"/>
      <c r="H9" s="69"/>
      <c r="I9" s="69"/>
      <c r="J9" s="70"/>
      <c r="K9" s="73"/>
      <c r="L9" s="74"/>
      <c r="M9" s="9"/>
      <c r="N9" s="65"/>
      <c r="O9" s="66"/>
      <c r="P9" s="67"/>
      <c r="Q9" s="66"/>
      <c r="R9" s="72"/>
      <c r="S9" s="69"/>
      <c r="T9" s="69"/>
      <c r="U9" s="69"/>
      <c r="V9" s="70"/>
      <c r="W9" s="73"/>
      <c r="X9" s="74"/>
    </row>
    <row r="11" spans="1:24" ht="18" thickBot="1" x14ac:dyDescent="0.35">
      <c r="B11" s="11" t="s">
        <v>247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60" t="s">
        <v>4</v>
      </c>
      <c r="C12" s="61"/>
      <c r="D12" s="62" t="s">
        <v>5</v>
      </c>
      <c r="E12" s="61"/>
      <c r="F12" s="62" t="s">
        <v>1</v>
      </c>
      <c r="G12" s="63"/>
      <c r="H12" s="63"/>
      <c r="I12" s="63"/>
      <c r="J12" s="61"/>
      <c r="K12" s="62" t="s">
        <v>6</v>
      </c>
      <c r="L12" s="64"/>
    </row>
    <row r="13" spans="1:24" x14ac:dyDescent="0.3">
      <c r="B13" s="65" t="s">
        <v>248</v>
      </c>
      <c r="C13" s="66"/>
      <c r="D13" s="67" t="s">
        <v>249</v>
      </c>
      <c r="E13" s="66"/>
      <c r="F13" s="135" t="s">
        <v>250</v>
      </c>
      <c r="G13" s="69"/>
      <c r="H13" s="69"/>
      <c r="I13" s="69"/>
      <c r="J13" s="70"/>
      <c r="K13" s="67">
        <v>0.2</v>
      </c>
      <c r="L13" s="71"/>
    </row>
    <row r="14" spans="1:24" x14ac:dyDescent="0.3">
      <c r="B14" s="65"/>
      <c r="C14" s="66"/>
      <c r="D14" s="67"/>
      <c r="E14" s="66"/>
      <c r="F14" s="68"/>
      <c r="G14" s="69"/>
      <c r="H14" s="69"/>
      <c r="I14" s="69"/>
      <c r="J14" s="70"/>
      <c r="K14" s="67"/>
      <c r="L14" s="71"/>
    </row>
    <row r="15" spans="1:24" x14ac:dyDescent="0.3">
      <c r="B15" s="65"/>
      <c r="C15" s="66"/>
      <c r="D15" s="67"/>
      <c r="E15" s="66"/>
      <c r="F15" s="72"/>
      <c r="G15" s="69"/>
      <c r="H15" s="69"/>
      <c r="I15" s="69"/>
      <c r="J15" s="70"/>
      <c r="K15" s="73"/>
      <c r="L15" s="74"/>
    </row>
    <row r="16" spans="1:24" x14ac:dyDescent="0.3">
      <c r="B16" s="65"/>
      <c r="C16" s="66"/>
      <c r="D16" s="67"/>
      <c r="E16" s="66"/>
      <c r="F16" s="72"/>
      <c r="G16" s="69"/>
      <c r="H16" s="69"/>
      <c r="I16" s="69"/>
      <c r="J16" s="70"/>
      <c r="K16" s="73"/>
      <c r="L16" s="74"/>
    </row>
  </sheetData>
  <mergeCells count="61"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  <mergeCell ref="B12:C12"/>
    <mergeCell ref="D12:E12"/>
    <mergeCell ref="F12:J12"/>
    <mergeCell ref="K12:L12"/>
    <mergeCell ref="B13:C13"/>
    <mergeCell ref="D13:E13"/>
    <mergeCell ref="F13:J13"/>
    <mergeCell ref="K13:L13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45"/>
  <sheetViews>
    <sheetView tabSelected="1" topLeftCell="A10" zoomScale="85" zoomScaleNormal="85" workbookViewId="0">
      <selection activeCell="J28" sqref="J28"/>
    </sheetView>
  </sheetViews>
  <sheetFormatPr defaultColWidth="9" defaultRowHeight="16.5" x14ac:dyDescent="0.3"/>
  <cols>
    <col min="1" max="1" width="3" style="3" customWidth="1"/>
    <col min="2" max="2" width="7" style="3" hidden="1" customWidth="1"/>
    <col min="3" max="3" width="31.75" style="3" customWidth="1"/>
    <col min="4" max="4" width="4.375" style="3" bestFit="1" customWidth="1"/>
    <col min="5" max="5" width="24" style="3" customWidth="1"/>
    <col min="6" max="6" width="4.25" style="3" bestFit="1" customWidth="1"/>
    <col min="7" max="7" width="12.125" style="3" customWidth="1"/>
    <col min="8" max="8" width="5.5" style="3" bestFit="1" customWidth="1"/>
    <col min="9" max="9" width="7.75" style="3" customWidth="1"/>
    <col min="10" max="10" width="29.2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4" style="3" customWidth="1"/>
    <col min="17" max="17" width="4.375" style="3" customWidth="1"/>
    <col min="18" max="18" width="12.125" style="3" customWidth="1"/>
    <col min="19" max="19" width="5" style="3" customWidth="1"/>
    <col min="20" max="20" width="9" style="3" customWidth="1"/>
    <col min="21" max="21" width="21.7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01" t="s">
        <v>154</v>
      </c>
      <c r="D2" s="102"/>
      <c r="E2" s="102"/>
      <c r="F2" s="102"/>
      <c r="G2" s="102"/>
      <c r="H2" s="102"/>
      <c r="I2" s="102"/>
      <c r="J2" s="102"/>
      <c r="K2" s="102"/>
      <c r="L2" s="102"/>
      <c r="M2" s="136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</row>
    <row r="3" spans="3:24" ht="16.5" customHeight="1" x14ac:dyDescent="0.3">
      <c r="C3" s="24" t="s">
        <v>155</v>
      </c>
      <c r="D3" s="103" t="s">
        <v>245</v>
      </c>
      <c r="E3" s="104"/>
      <c r="F3" s="104"/>
      <c r="G3" s="104"/>
      <c r="H3" s="105"/>
      <c r="I3" s="106" t="s">
        <v>156</v>
      </c>
      <c r="J3" s="106"/>
      <c r="K3" s="107" t="s">
        <v>157</v>
      </c>
      <c r="L3" s="108"/>
      <c r="M3" s="137"/>
      <c r="N3" s="25" t="s">
        <v>158</v>
      </c>
      <c r="O3" s="109" t="s">
        <v>157</v>
      </c>
      <c r="P3" s="110"/>
      <c r="Q3" s="110"/>
      <c r="R3" s="110"/>
      <c r="S3" s="110"/>
      <c r="T3" s="110"/>
      <c r="U3" s="111"/>
      <c r="V3" s="25" t="s">
        <v>159</v>
      </c>
      <c r="W3" s="112">
        <v>44831</v>
      </c>
      <c r="X3" s="108"/>
    </row>
    <row r="4" spans="3:24" ht="16.5" customHeight="1" x14ac:dyDescent="0.3">
      <c r="C4" s="24" t="s">
        <v>160</v>
      </c>
      <c r="D4" s="103" t="s">
        <v>161</v>
      </c>
      <c r="E4" s="104"/>
      <c r="F4" s="104"/>
      <c r="G4" s="104"/>
      <c r="H4" s="105"/>
      <c r="I4" s="123" t="s">
        <v>15</v>
      </c>
      <c r="J4" s="124"/>
      <c r="K4" s="107" t="s">
        <v>162</v>
      </c>
      <c r="L4" s="108"/>
      <c r="M4" s="137"/>
      <c r="N4" s="25" t="s">
        <v>163</v>
      </c>
      <c r="O4" s="109" t="s">
        <v>164</v>
      </c>
      <c r="P4" s="110"/>
      <c r="Q4" s="110"/>
      <c r="R4" s="110"/>
      <c r="S4" s="110"/>
      <c r="T4" s="110"/>
      <c r="U4" s="111"/>
      <c r="V4" s="25" t="s">
        <v>165</v>
      </c>
      <c r="W4" s="115"/>
      <c r="X4" s="116"/>
    </row>
    <row r="5" spans="3:24" ht="16.5" customHeight="1" x14ac:dyDescent="0.3">
      <c r="C5" s="26" t="s">
        <v>166</v>
      </c>
      <c r="D5" s="125"/>
      <c r="E5" s="126"/>
      <c r="F5" s="126"/>
      <c r="G5" s="126"/>
      <c r="H5" s="127"/>
      <c r="I5" s="80" t="s">
        <v>167</v>
      </c>
      <c r="J5" s="80"/>
      <c r="K5" s="113"/>
      <c r="L5" s="114"/>
      <c r="M5" s="138"/>
      <c r="N5" s="26" t="s">
        <v>168</v>
      </c>
      <c r="O5" s="128"/>
      <c r="P5" s="129"/>
      <c r="Q5" s="129"/>
      <c r="R5" s="129"/>
      <c r="S5" s="129"/>
      <c r="T5" s="129"/>
      <c r="U5" s="130"/>
      <c r="V5" s="26" t="s">
        <v>169</v>
      </c>
      <c r="W5" s="113"/>
      <c r="X5" s="114"/>
    </row>
    <row r="7" spans="3:24" ht="45.75" customHeight="1" x14ac:dyDescent="0.3">
      <c r="C7" s="13" t="s">
        <v>170</v>
      </c>
      <c r="D7" s="120" t="s">
        <v>171</v>
      </c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2"/>
    </row>
    <row r="8" spans="3:24" ht="27" customHeight="1" x14ac:dyDescent="0.3">
      <c r="C8" s="13" t="s">
        <v>172</v>
      </c>
      <c r="D8" s="120" t="s">
        <v>173</v>
      </c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2"/>
    </row>
    <row r="10" spans="3:24" ht="38.25" customHeight="1" x14ac:dyDescent="0.3">
      <c r="C10" s="92" t="s">
        <v>174</v>
      </c>
      <c r="D10" s="92"/>
      <c r="E10" s="92"/>
      <c r="F10" s="92"/>
      <c r="G10" s="92"/>
      <c r="H10" s="92"/>
      <c r="I10" s="92"/>
      <c r="J10" s="92"/>
      <c r="K10" s="92"/>
      <c r="L10" s="131"/>
      <c r="M10" s="139"/>
      <c r="N10" s="91" t="s">
        <v>175</v>
      </c>
      <c r="O10" s="92"/>
      <c r="P10" s="92"/>
      <c r="Q10" s="92"/>
      <c r="R10" s="92"/>
      <c r="S10" s="92"/>
      <c r="T10" s="92"/>
      <c r="U10" s="92"/>
      <c r="V10" s="92"/>
      <c r="W10" s="92"/>
      <c r="X10" s="80" t="s">
        <v>176</v>
      </c>
    </row>
    <row r="11" spans="3:24" ht="16.5" customHeight="1" x14ac:dyDescent="0.3">
      <c r="C11" s="90" t="s">
        <v>10</v>
      </c>
      <c r="D11" s="95"/>
      <c r="E11" s="95"/>
      <c r="F11" s="93"/>
      <c r="G11" s="96" t="s">
        <v>177</v>
      </c>
      <c r="H11" s="97"/>
      <c r="I11" s="97"/>
      <c r="J11" s="97"/>
      <c r="K11" s="97"/>
      <c r="L11" s="100"/>
      <c r="M11" s="140"/>
      <c r="N11" s="99" t="s">
        <v>10</v>
      </c>
      <c r="O11" s="95"/>
      <c r="P11" s="95"/>
      <c r="Q11" s="93"/>
      <c r="R11" s="96" t="s">
        <v>44</v>
      </c>
      <c r="S11" s="97"/>
      <c r="T11" s="97"/>
      <c r="U11" s="97"/>
      <c r="V11" s="97"/>
      <c r="W11" s="100"/>
      <c r="X11" s="80"/>
    </row>
    <row r="12" spans="3:24" ht="16.5" customHeight="1" x14ac:dyDescent="0.3">
      <c r="C12" s="90" t="s">
        <v>178</v>
      </c>
      <c r="D12" s="95"/>
      <c r="E12" s="95"/>
      <c r="F12" s="93"/>
      <c r="G12" s="96" t="str">
        <f>VLOOKUP(G11,Code!$B$3:$C$69,2,0)</f>
        <v>DPS</v>
      </c>
      <c r="H12" s="97"/>
      <c r="I12" s="97"/>
      <c r="J12" s="97"/>
      <c r="K12" s="97"/>
      <c r="L12" s="98"/>
      <c r="M12" s="140"/>
      <c r="N12" s="99" t="s">
        <v>178</v>
      </c>
      <c r="O12" s="95"/>
      <c r="P12" s="95"/>
      <c r="Q12" s="93"/>
      <c r="R12" s="96" t="str">
        <f>VLOOKUP(R11,Code!$B$3:$C$69,2,0)</f>
        <v>ERP</v>
      </c>
      <c r="S12" s="97"/>
      <c r="T12" s="97"/>
      <c r="U12" s="97"/>
      <c r="V12" s="97"/>
      <c r="W12" s="98"/>
      <c r="X12" s="93"/>
    </row>
    <row r="13" spans="3:24" ht="16.5" customHeight="1" x14ac:dyDescent="0.3">
      <c r="C13" s="90" t="s">
        <v>179</v>
      </c>
      <c r="D13" s="95"/>
      <c r="E13" s="95"/>
      <c r="F13" s="93"/>
      <c r="G13" s="81"/>
      <c r="H13" s="82"/>
      <c r="I13" s="82"/>
      <c r="J13" s="82"/>
      <c r="K13" s="82"/>
      <c r="L13" s="83"/>
      <c r="M13" s="141"/>
      <c r="N13" s="99" t="s">
        <v>179</v>
      </c>
      <c r="O13" s="95"/>
      <c r="P13" s="95"/>
      <c r="Q13" s="93"/>
      <c r="R13" s="81" t="s">
        <v>180</v>
      </c>
      <c r="S13" s="82"/>
      <c r="T13" s="82"/>
      <c r="U13" s="82"/>
      <c r="V13" s="82"/>
      <c r="W13" s="83"/>
      <c r="X13" s="80"/>
    </row>
    <row r="14" spans="3:24" x14ac:dyDescent="0.3">
      <c r="C14" s="80" t="s">
        <v>181</v>
      </c>
      <c r="D14" s="80"/>
      <c r="E14" s="80"/>
      <c r="F14" s="80"/>
      <c r="G14" s="81" t="s">
        <v>243</v>
      </c>
      <c r="H14" s="82"/>
      <c r="I14" s="82"/>
      <c r="J14" s="82"/>
      <c r="K14" s="82"/>
      <c r="L14" s="82"/>
      <c r="M14" s="141"/>
      <c r="N14" s="99" t="s">
        <v>181</v>
      </c>
      <c r="O14" s="95"/>
      <c r="P14" s="95"/>
      <c r="Q14" s="93"/>
      <c r="R14" s="117" t="s">
        <v>182</v>
      </c>
      <c r="S14" s="118"/>
      <c r="T14" s="118"/>
      <c r="U14" s="118"/>
      <c r="V14" s="118"/>
      <c r="W14" s="119"/>
      <c r="X14" s="80"/>
    </row>
    <row r="15" spans="3:24" ht="16.5" customHeight="1" x14ac:dyDescent="0.3">
      <c r="C15" s="80" t="s">
        <v>12</v>
      </c>
      <c r="D15" s="80"/>
      <c r="E15" s="80"/>
      <c r="F15" s="80"/>
      <c r="G15" s="81" t="s">
        <v>33</v>
      </c>
      <c r="H15" s="82"/>
      <c r="I15" s="82"/>
      <c r="J15" s="82"/>
      <c r="K15" s="82"/>
      <c r="L15" s="83"/>
      <c r="M15" s="141"/>
      <c r="N15" s="84" t="s">
        <v>12</v>
      </c>
      <c r="O15" s="80"/>
      <c r="P15" s="80"/>
      <c r="Q15" s="80"/>
      <c r="R15" s="81" t="s">
        <v>183</v>
      </c>
      <c r="S15" s="82"/>
      <c r="T15" s="82"/>
      <c r="U15" s="82"/>
      <c r="V15" s="82"/>
      <c r="W15" s="83"/>
      <c r="X15" s="80"/>
    </row>
    <row r="16" spans="3:24" ht="16.5" customHeight="1" x14ac:dyDescent="0.3">
      <c r="C16" s="85" t="s">
        <v>184</v>
      </c>
      <c r="D16" s="86"/>
      <c r="E16" s="86"/>
      <c r="F16" s="86"/>
      <c r="G16" s="86"/>
      <c r="H16" s="86"/>
      <c r="I16" s="86"/>
      <c r="J16" s="86"/>
      <c r="K16" s="86"/>
      <c r="L16" s="87"/>
      <c r="M16" s="142"/>
      <c r="N16" s="88" t="s">
        <v>185</v>
      </c>
      <c r="O16" s="86"/>
      <c r="P16" s="86"/>
      <c r="Q16" s="86"/>
      <c r="R16" s="86"/>
      <c r="S16" s="86"/>
      <c r="T16" s="86"/>
      <c r="U16" s="86"/>
      <c r="V16" s="86"/>
      <c r="W16" s="89"/>
      <c r="X16" s="80"/>
    </row>
    <row r="17" spans="2:24" ht="16.5" customHeight="1" x14ac:dyDescent="0.3">
      <c r="C17" s="15" t="s">
        <v>181</v>
      </c>
      <c r="D17" s="15" t="s">
        <v>186</v>
      </c>
      <c r="E17" s="15" t="s">
        <v>187</v>
      </c>
      <c r="F17" s="15" t="s">
        <v>188</v>
      </c>
      <c r="G17" s="15" t="s">
        <v>189</v>
      </c>
      <c r="H17" s="15" t="s">
        <v>190</v>
      </c>
      <c r="I17" s="15" t="s">
        <v>191</v>
      </c>
      <c r="J17" s="15" t="s">
        <v>158</v>
      </c>
      <c r="K17" s="15" t="s">
        <v>192</v>
      </c>
      <c r="L17" s="27" t="s">
        <v>193</v>
      </c>
      <c r="M17" s="142"/>
      <c r="N17" s="28" t="s">
        <v>181</v>
      </c>
      <c r="O17" s="29" t="s">
        <v>186</v>
      </c>
      <c r="P17" s="29" t="s">
        <v>187</v>
      </c>
      <c r="Q17" s="29" t="s">
        <v>188</v>
      </c>
      <c r="R17" s="29" t="s">
        <v>189</v>
      </c>
      <c r="S17" s="29" t="s">
        <v>190</v>
      </c>
      <c r="T17" s="15" t="s">
        <v>191</v>
      </c>
      <c r="U17" s="29" t="s">
        <v>158</v>
      </c>
      <c r="V17" s="29" t="s">
        <v>192</v>
      </c>
      <c r="W17" s="29" t="s">
        <v>193</v>
      </c>
      <c r="X17" s="94"/>
    </row>
    <row r="18" spans="2:24" s="2" customFormat="1" ht="16.5" customHeight="1" x14ac:dyDescent="0.3">
      <c r="B18" s="2" t="s">
        <v>252</v>
      </c>
      <c r="C18" s="30" t="s">
        <v>242</v>
      </c>
      <c r="D18" s="31"/>
      <c r="E18" s="32"/>
      <c r="F18" s="33"/>
      <c r="G18" s="34"/>
      <c r="H18" s="34"/>
      <c r="I18" s="33"/>
      <c r="J18" s="35"/>
      <c r="K18" s="36"/>
      <c r="L18" s="37"/>
      <c r="M18" s="143"/>
      <c r="N18" s="21"/>
      <c r="O18" s="31"/>
      <c r="P18" s="32"/>
      <c r="Q18" s="33"/>
      <c r="R18" s="34"/>
      <c r="S18" s="34"/>
      <c r="T18" s="33"/>
      <c r="U18" s="35"/>
      <c r="V18" s="36"/>
      <c r="W18" s="38"/>
      <c r="X18" s="39"/>
    </row>
    <row r="19" spans="2:24" ht="16.5" customHeight="1" x14ac:dyDescent="0.3">
      <c r="N19" s="14"/>
      <c r="X19" s="40"/>
    </row>
    <row r="20" spans="2:24" ht="16.5" customHeight="1" x14ac:dyDescent="0.3">
      <c r="C20" s="80" t="s">
        <v>185</v>
      </c>
      <c r="D20" s="80"/>
      <c r="E20" s="80"/>
      <c r="F20" s="80"/>
      <c r="G20" s="80"/>
      <c r="H20" s="80"/>
      <c r="I20" s="80"/>
      <c r="J20" s="80"/>
      <c r="K20" s="80"/>
      <c r="L20" s="90"/>
      <c r="M20" s="144"/>
      <c r="N20" s="84" t="s">
        <v>184</v>
      </c>
      <c r="O20" s="80"/>
      <c r="P20" s="80"/>
      <c r="Q20" s="80"/>
      <c r="R20" s="80"/>
      <c r="S20" s="80"/>
      <c r="T20" s="80"/>
      <c r="U20" s="80"/>
      <c r="V20" s="80"/>
      <c r="W20" s="90"/>
      <c r="X20" s="78" t="s">
        <v>176</v>
      </c>
    </row>
    <row r="21" spans="2:24" ht="16.5" customHeight="1" x14ac:dyDescent="0.3">
      <c r="C21" s="15" t="s">
        <v>181</v>
      </c>
      <c r="D21" s="15" t="s">
        <v>186</v>
      </c>
      <c r="E21" s="15" t="s">
        <v>194</v>
      </c>
      <c r="F21" s="15" t="s">
        <v>188</v>
      </c>
      <c r="G21" s="15" t="s">
        <v>189</v>
      </c>
      <c r="H21" s="15" t="s">
        <v>190</v>
      </c>
      <c r="I21" s="15" t="s">
        <v>191</v>
      </c>
      <c r="J21" s="15" t="s">
        <v>158</v>
      </c>
      <c r="K21" s="15" t="s">
        <v>192</v>
      </c>
      <c r="L21" s="27" t="s">
        <v>193</v>
      </c>
      <c r="M21" s="142"/>
      <c r="N21" s="28" t="s">
        <v>181</v>
      </c>
      <c r="O21" s="29" t="s">
        <v>186</v>
      </c>
      <c r="P21" s="29" t="s">
        <v>187</v>
      </c>
      <c r="Q21" s="29" t="s">
        <v>188</v>
      </c>
      <c r="R21" s="29" t="s">
        <v>189</v>
      </c>
      <c r="S21" s="29" t="s">
        <v>190</v>
      </c>
      <c r="T21" s="15" t="s">
        <v>191</v>
      </c>
      <c r="U21" s="29" t="s">
        <v>158</v>
      </c>
      <c r="V21" s="29" t="s">
        <v>192</v>
      </c>
      <c r="W21" s="29" t="s">
        <v>193</v>
      </c>
      <c r="X21" s="79"/>
    </row>
    <row r="22" spans="2:24" s="1" customFormat="1" ht="16.5" customHeight="1" x14ac:dyDescent="0.3">
      <c r="B22" s="1" t="s">
        <v>253</v>
      </c>
      <c r="C22" s="58" t="s">
        <v>182</v>
      </c>
      <c r="D22" s="38">
        <v>1</v>
      </c>
      <c r="E22" s="41" t="s">
        <v>195</v>
      </c>
      <c r="F22" s="38"/>
      <c r="G22" s="42" t="s">
        <v>196</v>
      </c>
      <c r="H22" s="57">
        <v>240</v>
      </c>
      <c r="I22" s="33"/>
      <c r="J22" s="34" t="s">
        <v>197</v>
      </c>
      <c r="K22" s="43"/>
      <c r="L22" s="44"/>
      <c r="M22" s="145" t="s">
        <v>255</v>
      </c>
      <c r="N22" s="21" t="s">
        <v>182</v>
      </c>
      <c r="O22" s="38">
        <v>1</v>
      </c>
      <c r="P22" s="41" t="s">
        <v>195</v>
      </c>
      <c r="Q22" s="38"/>
      <c r="R22" s="42" t="s">
        <v>198</v>
      </c>
      <c r="S22" s="42">
        <v>240</v>
      </c>
      <c r="T22" s="33"/>
      <c r="U22" s="34" t="s">
        <v>197</v>
      </c>
      <c r="V22" s="43"/>
      <c r="W22" s="38"/>
      <c r="X22" s="45"/>
    </row>
    <row r="23" spans="2:24" s="1" customFormat="1" ht="16.5" customHeight="1" x14ac:dyDescent="0.3">
      <c r="B23" s="1" t="s">
        <v>253</v>
      </c>
      <c r="C23" s="32"/>
      <c r="D23" s="38">
        <v>2</v>
      </c>
      <c r="E23" s="41" t="s">
        <v>199</v>
      </c>
      <c r="F23" s="38"/>
      <c r="G23" s="42" t="s">
        <v>196</v>
      </c>
      <c r="H23" s="57">
        <v>150</v>
      </c>
      <c r="I23" s="33"/>
      <c r="J23" s="34" t="s">
        <v>200</v>
      </c>
      <c r="K23" s="43"/>
      <c r="L23" s="44"/>
      <c r="M23" s="145" t="s">
        <v>255</v>
      </c>
      <c r="N23" s="21"/>
      <c r="O23" s="38">
        <v>2</v>
      </c>
      <c r="P23" s="41" t="s">
        <v>199</v>
      </c>
      <c r="Q23" s="38"/>
      <c r="R23" s="42" t="s">
        <v>198</v>
      </c>
      <c r="S23" s="42">
        <v>150</v>
      </c>
      <c r="T23" s="33"/>
      <c r="U23" s="34" t="s">
        <v>200</v>
      </c>
      <c r="V23" s="43"/>
      <c r="W23" s="38"/>
      <c r="X23" s="45"/>
    </row>
    <row r="24" spans="2:24" s="1" customFormat="1" ht="16.5" customHeight="1" x14ac:dyDescent="0.3">
      <c r="B24" s="1" t="s">
        <v>253</v>
      </c>
      <c r="C24" s="32"/>
      <c r="D24" s="38">
        <v>3</v>
      </c>
      <c r="E24" s="41" t="s">
        <v>201</v>
      </c>
      <c r="F24" s="38"/>
      <c r="G24" s="42" t="s">
        <v>196</v>
      </c>
      <c r="H24" s="57">
        <v>150</v>
      </c>
      <c r="I24" s="33"/>
      <c r="J24" s="34" t="s">
        <v>202</v>
      </c>
      <c r="K24" s="43"/>
      <c r="L24" s="44"/>
      <c r="M24" s="145" t="s">
        <v>255</v>
      </c>
      <c r="N24" s="21"/>
      <c r="O24" s="38">
        <v>3</v>
      </c>
      <c r="P24" s="41" t="s">
        <v>201</v>
      </c>
      <c r="Q24" s="38"/>
      <c r="R24" s="42" t="s">
        <v>198</v>
      </c>
      <c r="S24" s="42">
        <v>150</v>
      </c>
      <c r="T24" s="33"/>
      <c r="U24" s="34" t="s">
        <v>202</v>
      </c>
      <c r="V24" s="43"/>
      <c r="W24" s="38"/>
      <c r="X24" s="45"/>
    </row>
    <row r="25" spans="2:24" s="1" customFormat="1" ht="16.5" customHeight="1" x14ac:dyDescent="0.3">
      <c r="B25" s="1" t="s">
        <v>253</v>
      </c>
      <c r="C25" s="32"/>
      <c r="D25" s="38">
        <v>4</v>
      </c>
      <c r="E25" s="41" t="s">
        <v>203</v>
      </c>
      <c r="F25" s="38"/>
      <c r="G25" s="42" t="s">
        <v>196</v>
      </c>
      <c r="H25" s="57">
        <v>240</v>
      </c>
      <c r="I25" s="33"/>
      <c r="J25" s="34" t="s">
        <v>202</v>
      </c>
      <c r="K25" s="43"/>
      <c r="L25" s="44"/>
      <c r="M25" s="145" t="s">
        <v>255</v>
      </c>
      <c r="N25" s="21"/>
      <c r="O25" s="38">
        <v>4</v>
      </c>
      <c r="P25" s="41" t="s">
        <v>203</v>
      </c>
      <c r="Q25" s="38"/>
      <c r="R25" s="42" t="s">
        <v>198</v>
      </c>
      <c r="S25" s="42">
        <v>240</v>
      </c>
      <c r="T25" s="33"/>
      <c r="U25" s="34" t="s">
        <v>202</v>
      </c>
      <c r="V25" s="43"/>
      <c r="W25" s="38"/>
      <c r="X25" s="45"/>
    </row>
    <row r="26" spans="2:24" s="1" customFormat="1" ht="16.5" customHeight="1" x14ac:dyDescent="0.3">
      <c r="B26" s="1" t="s">
        <v>253</v>
      </c>
      <c r="C26" s="32"/>
      <c r="D26" s="38">
        <v>5</v>
      </c>
      <c r="E26" s="41" t="s">
        <v>204</v>
      </c>
      <c r="F26" s="38"/>
      <c r="G26" s="42" t="s">
        <v>196</v>
      </c>
      <c r="H26" s="57">
        <v>150</v>
      </c>
      <c r="I26" s="33"/>
      <c r="J26" s="34" t="s">
        <v>205</v>
      </c>
      <c r="K26" s="43"/>
      <c r="L26" s="44"/>
      <c r="M26" s="145" t="s">
        <v>255</v>
      </c>
      <c r="N26" s="21"/>
      <c r="O26" s="38">
        <v>5</v>
      </c>
      <c r="P26" s="41" t="s">
        <v>204</v>
      </c>
      <c r="Q26" s="38"/>
      <c r="R26" s="42" t="s">
        <v>198</v>
      </c>
      <c r="S26" s="42">
        <v>150</v>
      </c>
      <c r="T26" s="33"/>
      <c r="U26" s="34" t="s">
        <v>205</v>
      </c>
      <c r="V26" s="43"/>
      <c r="W26" s="38"/>
      <c r="X26" s="45"/>
    </row>
    <row r="27" spans="2:24" s="1" customFormat="1" ht="16.5" customHeight="1" x14ac:dyDescent="0.3">
      <c r="B27" s="1" t="s">
        <v>253</v>
      </c>
      <c r="C27" s="32"/>
      <c r="D27" s="38">
        <v>6</v>
      </c>
      <c r="E27" s="41" t="s">
        <v>206</v>
      </c>
      <c r="F27" s="38"/>
      <c r="G27" s="42" t="s">
        <v>207</v>
      </c>
      <c r="H27" s="57"/>
      <c r="I27" s="33"/>
      <c r="J27" s="34" t="s">
        <v>208</v>
      </c>
      <c r="K27" s="43"/>
      <c r="L27" s="44"/>
      <c r="M27" s="145" t="s">
        <v>255</v>
      </c>
      <c r="N27" s="21"/>
      <c r="O27" s="38">
        <v>6</v>
      </c>
      <c r="P27" s="41" t="s">
        <v>206</v>
      </c>
      <c r="Q27" s="38"/>
      <c r="R27" s="42" t="s">
        <v>209</v>
      </c>
      <c r="S27" s="42"/>
      <c r="T27" s="33"/>
      <c r="U27" s="34" t="s">
        <v>208</v>
      </c>
      <c r="V27" s="43"/>
      <c r="W27" s="38"/>
      <c r="X27" s="45"/>
    </row>
    <row r="28" spans="2:24" s="1" customFormat="1" ht="16.5" customHeight="1" x14ac:dyDescent="0.3">
      <c r="B28" s="1" t="s">
        <v>253</v>
      </c>
      <c r="C28" s="32"/>
      <c r="D28" s="38">
        <v>7</v>
      </c>
      <c r="E28" s="41" t="s">
        <v>210</v>
      </c>
      <c r="F28" s="38" t="s">
        <v>23</v>
      </c>
      <c r="G28" s="42" t="s">
        <v>196</v>
      </c>
      <c r="H28" s="57">
        <v>80</v>
      </c>
      <c r="I28" s="33"/>
      <c r="J28" s="34" t="s">
        <v>211</v>
      </c>
      <c r="K28" s="43"/>
      <c r="L28" s="44"/>
      <c r="M28" s="145" t="s">
        <v>255</v>
      </c>
      <c r="N28" s="21"/>
      <c r="O28" s="38">
        <v>7</v>
      </c>
      <c r="P28" s="41" t="s">
        <v>210</v>
      </c>
      <c r="Q28" s="38" t="s">
        <v>23</v>
      </c>
      <c r="R28" s="42" t="s">
        <v>198</v>
      </c>
      <c r="S28" s="42">
        <v>80</v>
      </c>
      <c r="T28" s="33"/>
      <c r="U28" s="34" t="s">
        <v>211</v>
      </c>
      <c r="V28" s="43"/>
      <c r="W28" s="38"/>
      <c r="X28" s="45"/>
    </row>
    <row r="29" spans="2:24" s="1" customFormat="1" ht="16.5" customHeight="1" x14ac:dyDescent="0.3">
      <c r="B29" s="1" t="s">
        <v>253</v>
      </c>
      <c r="C29" s="32"/>
      <c r="D29" s="38">
        <v>8</v>
      </c>
      <c r="E29" s="41" t="s">
        <v>212</v>
      </c>
      <c r="F29" s="38"/>
      <c r="G29" s="42" t="s">
        <v>196</v>
      </c>
      <c r="H29" s="57">
        <v>1</v>
      </c>
      <c r="I29" s="33"/>
      <c r="J29" s="34" t="s">
        <v>213</v>
      </c>
      <c r="K29" s="43"/>
      <c r="L29" s="44"/>
      <c r="M29" s="145" t="s">
        <v>255</v>
      </c>
      <c r="N29" s="21"/>
      <c r="O29" s="38">
        <v>8</v>
      </c>
      <c r="P29" s="41" t="s">
        <v>212</v>
      </c>
      <c r="Q29" s="38"/>
      <c r="R29" s="42" t="s">
        <v>198</v>
      </c>
      <c r="S29" s="42">
        <v>1</v>
      </c>
      <c r="T29" s="33"/>
      <c r="U29" s="34" t="s">
        <v>213</v>
      </c>
      <c r="V29" s="43"/>
      <c r="W29" s="38"/>
      <c r="X29" s="45"/>
    </row>
    <row r="30" spans="2:24" s="1" customFormat="1" ht="16.5" customHeight="1" x14ac:dyDescent="0.3">
      <c r="B30" s="1" t="s">
        <v>253</v>
      </c>
      <c r="C30" s="46"/>
      <c r="D30" s="38">
        <v>9</v>
      </c>
      <c r="E30" t="s">
        <v>214</v>
      </c>
      <c r="F30" s="22"/>
      <c r="G30" s="47" t="s">
        <v>196</v>
      </c>
      <c r="H30" s="23">
        <v>1</v>
      </c>
      <c r="I30" s="48"/>
      <c r="J30" s="49" t="s">
        <v>215</v>
      </c>
      <c r="K30" s="34"/>
      <c r="L30" s="44"/>
      <c r="M30" s="145"/>
      <c r="N30" s="21"/>
      <c r="O30" s="38"/>
      <c r="P30" s="41"/>
      <c r="Q30" s="22"/>
      <c r="R30" s="47"/>
      <c r="S30" s="23"/>
      <c r="T30" s="48"/>
      <c r="U30" s="49"/>
      <c r="V30" s="39"/>
      <c r="W30" s="38"/>
      <c r="X30" s="45"/>
    </row>
    <row r="31" spans="2:24" s="1" customFormat="1" ht="16.5" customHeight="1" x14ac:dyDescent="0.3">
      <c r="B31" s="1" t="s">
        <v>253</v>
      </c>
      <c r="C31" s="46"/>
      <c r="D31" s="38">
        <v>10</v>
      </c>
      <c r="E31" s="45" t="s">
        <v>216</v>
      </c>
      <c r="F31" s="45"/>
      <c r="G31" s="47" t="s">
        <v>196</v>
      </c>
      <c r="H31" s="50">
        <v>36</v>
      </c>
      <c r="I31" s="48"/>
      <c r="J31" s="49" t="s">
        <v>217</v>
      </c>
      <c r="K31" s="34"/>
      <c r="L31" s="44"/>
      <c r="M31" s="145"/>
      <c r="N31" s="21"/>
      <c r="O31" s="38"/>
      <c r="P31" s="45"/>
      <c r="Q31" s="45"/>
      <c r="R31" s="47"/>
      <c r="S31" s="50"/>
      <c r="T31" s="48"/>
      <c r="U31" s="49"/>
      <c r="V31" s="39"/>
      <c r="W31" s="38"/>
      <c r="X31" s="45"/>
    </row>
    <row r="32" spans="2:24" s="1" customFormat="1" ht="16.5" customHeight="1" x14ac:dyDescent="0.3">
      <c r="B32" s="1" t="s">
        <v>253</v>
      </c>
      <c r="C32" s="46"/>
      <c r="D32" s="38">
        <v>11</v>
      </c>
      <c r="E32" s="45" t="s">
        <v>218</v>
      </c>
      <c r="F32" s="45"/>
      <c r="G32" s="47" t="s">
        <v>219</v>
      </c>
      <c r="H32" s="50"/>
      <c r="I32" s="45"/>
      <c r="J32" s="49" t="s">
        <v>220</v>
      </c>
      <c r="K32" s="34"/>
      <c r="L32" s="44"/>
      <c r="M32" s="145"/>
      <c r="N32" s="21"/>
      <c r="O32" s="38"/>
      <c r="P32" s="45"/>
      <c r="Q32" s="45"/>
      <c r="R32" s="47"/>
      <c r="S32" s="50"/>
      <c r="T32" s="45"/>
      <c r="U32" s="49"/>
      <c r="V32" s="39"/>
      <c r="W32" s="38"/>
      <c r="X32" s="45"/>
    </row>
    <row r="33" spans="2:24" s="1" customFormat="1" ht="16.5" customHeight="1" x14ac:dyDescent="0.3">
      <c r="C33" s="46"/>
      <c r="D33" s="38"/>
      <c r="E33" s="41"/>
      <c r="F33" s="38"/>
      <c r="G33" s="47"/>
      <c r="H33" s="51"/>
      <c r="I33" s="52"/>
      <c r="J33" s="34"/>
      <c r="K33" s="34"/>
      <c r="L33" s="44"/>
      <c r="M33" s="145"/>
      <c r="N33" s="21"/>
      <c r="O33" s="38"/>
      <c r="P33" s="41"/>
      <c r="Q33" s="38"/>
      <c r="R33" s="47"/>
      <c r="S33" s="51"/>
      <c r="T33" s="52"/>
      <c r="U33" s="34"/>
      <c r="V33" s="39"/>
      <c r="W33" s="38"/>
      <c r="X33" s="45"/>
    </row>
    <row r="34" spans="2:24" s="1" customFormat="1" ht="16.5" customHeight="1" x14ac:dyDescent="0.3">
      <c r="B34" s="1" t="s">
        <v>254</v>
      </c>
      <c r="C34" s="53" t="s">
        <v>221</v>
      </c>
      <c r="D34" s="38">
        <v>1</v>
      </c>
      <c r="E34" s="41" t="s">
        <v>222</v>
      </c>
      <c r="F34" s="38"/>
      <c r="G34" s="47" t="s">
        <v>196</v>
      </c>
      <c r="H34" s="54">
        <v>50</v>
      </c>
      <c r="I34" s="52"/>
      <c r="J34" s="34" t="s">
        <v>223</v>
      </c>
      <c r="K34" s="34"/>
      <c r="L34" s="44"/>
      <c r="M34" s="145"/>
      <c r="N34" s="21"/>
      <c r="O34" s="38"/>
      <c r="P34" s="41"/>
      <c r="Q34" s="38"/>
      <c r="R34" s="47"/>
      <c r="S34" s="51"/>
      <c r="T34" s="52"/>
      <c r="U34" s="34"/>
      <c r="V34" s="39"/>
      <c r="W34" s="38"/>
      <c r="X34" s="45"/>
    </row>
    <row r="35" spans="2:24" s="1" customFormat="1" ht="16.5" customHeight="1" x14ac:dyDescent="0.3">
      <c r="B35" s="1" t="s">
        <v>254</v>
      </c>
      <c r="C35" s="46"/>
      <c r="D35" s="38">
        <v>2</v>
      </c>
      <c r="E35" s="41" t="s">
        <v>224</v>
      </c>
      <c r="F35" s="38"/>
      <c r="G35" s="47" t="s">
        <v>196</v>
      </c>
      <c r="H35" s="54">
        <v>250</v>
      </c>
      <c r="I35" s="52"/>
      <c r="J35" s="34" t="s">
        <v>225</v>
      </c>
      <c r="K35" s="34"/>
      <c r="L35" s="44"/>
      <c r="M35" s="145"/>
      <c r="N35" s="21"/>
      <c r="O35" s="38"/>
      <c r="P35" s="41"/>
      <c r="Q35" s="38"/>
      <c r="R35" s="47"/>
      <c r="S35" s="51"/>
      <c r="T35" s="52"/>
      <c r="U35" s="34"/>
      <c r="V35" s="39"/>
      <c r="W35" s="38"/>
      <c r="X35" s="45"/>
    </row>
    <row r="36" spans="2:24" s="1" customFormat="1" ht="16.5" customHeight="1" x14ac:dyDescent="0.3">
      <c r="B36" s="1" t="s">
        <v>254</v>
      </c>
      <c r="C36" s="46"/>
      <c r="D36" s="38">
        <v>3</v>
      </c>
      <c r="E36" s="41" t="s">
        <v>226</v>
      </c>
      <c r="F36" s="38"/>
      <c r="G36" s="47" t="s">
        <v>196</v>
      </c>
      <c r="H36" s="54">
        <v>250</v>
      </c>
      <c r="I36" s="52"/>
      <c r="J36" s="34" t="s">
        <v>227</v>
      </c>
      <c r="K36" s="34"/>
      <c r="L36" s="44"/>
      <c r="M36" s="145"/>
      <c r="N36" s="21"/>
      <c r="O36" s="38"/>
      <c r="P36" s="41"/>
      <c r="Q36" s="38"/>
      <c r="R36" s="47"/>
      <c r="S36" s="51"/>
      <c r="T36" s="52"/>
      <c r="U36" s="34"/>
      <c r="V36" s="39"/>
      <c r="W36" s="38"/>
      <c r="X36" s="45"/>
    </row>
    <row r="37" spans="2:24" s="1" customFormat="1" ht="16.5" customHeight="1" x14ac:dyDescent="0.3">
      <c r="B37" s="1" t="s">
        <v>254</v>
      </c>
      <c r="C37" s="46"/>
      <c r="D37" s="38">
        <v>4</v>
      </c>
      <c r="E37" s="41" t="s">
        <v>228</v>
      </c>
      <c r="F37" s="38"/>
      <c r="G37" s="47" t="s">
        <v>196</v>
      </c>
      <c r="H37" s="54">
        <v>250</v>
      </c>
      <c r="I37" s="52"/>
      <c r="J37" s="34" t="s">
        <v>229</v>
      </c>
      <c r="K37" s="34"/>
      <c r="L37" s="44"/>
      <c r="M37" s="145"/>
      <c r="N37" s="21"/>
      <c r="O37" s="38"/>
      <c r="P37" s="41"/>
      <c r="Q37" s="38"/>
      <c r="R37" s="47"/>
      <c r="S37" s="51"/>
      <c r="T37" s="52"/>
      <c r="U37" s="34"/>
      <c r="V37" s="39"/>
      <c r="W37" s="38"/>
      <c r="X37" s="45"/>
    </row>
    <row r="38" spans="2:24" s="1" customFormat="1" ht="16.5" customHeight="1" x14ac:dyDescent="0.3">
      <c r="B38" s="1" t="s">
        <v>254</v>
      </c>
      <c r="C38" s="46"/>
      <c r="D38" s="38">
        <v>5</v>
      </c>
      <c r="E38" s="41" t="s">
        <v>230</v>
      </c>
      <c r="F38" s="38"/>
      <c r="G38" s="47" t="s">
        <v>196</v>
      </c>
      <c r="H38" s="54">
        <v>250</v>
      </c>
      <c r="I38" s="52"/>
      <c r="J38" s="34" t="s">
        <v>231</v>
      </c>
      <c r="K38" s="34"/>
      <c r="L38" s="44"/>
      <c r="M38" s="145"/>
      <c r="N38" s="21"/>
      <c r="O38" s="38"/>
      <c r="P38" s="41"/>
      <c r="Q38" s="38"/>
      <c r="R38" s="47"/>
      <c r="S38" s="51"/>
      <c r="T38" s="52"/>
      <c r="U38" s="34"/>
      <c r="V38" s="39"/>
      <c r="W38" s="38"/>
      <c r="X38" s="45"/>
    </row>
    <row r="39" spans="2:24" s="1" customFormat="1" ht="16.5" customHeight="1" x14ac:dyDescent="0.3">
      <c r="B39" s="1" t="s">
        <v>254</v>
      </c>
      <c r="C39" s="46"/>
      <c r="D39" s="38">
        <v>6</v>
      </c>
      <c r="E39" s="41" t="s">
        <v>232</v>
      </c>
      <c r="F39" s="38"/>
      <c r="G39" s="47" t="s">
        <v>196</v>
      </c>
      <c r="H39" s="54" t="s">
        <v>233</v>
      </c>
      <c r="I39" s="52"/>
      <c r="J39" s="34" t="s">
        <v>234</v>
      </c>
      <c r="K39" s="34"/>
      <c r="L39" s="44"/>
      <c r="M39" s="145"/>
      <c r="N39" s="21"/>
      <c r="O39" s="38"/>
      <c r="P39" s="41"/>
      <c r="Q39" s="38"/>
      <c r="R39" s="47"/>
      <c r="S39" s="51"/>
      <c r="T39" s="52"/>
      <c r="U39" s="34"/>
      <c r="V39" s="39"/>
      <c r="W39" s="38"/>
      <c r="X39" s="45"/>
    </row>
    <row r="40" spans="2:24" s="1" customFormat="1" ht="16.5" customHeight="1" x14ac:dyDescent="0.3">
      <c r="B40" s="1" t="s">
        <v>254</v>
      </c>
      <c r="C40" s="46"/>
      <c r="D40" s="38">
        <v>7</v>
      </c>
      <c r="E40" s="41" t="s">
        <v>235</v>
      </c>
      <c r="F40" s="38"/>
      <c r="G40" s="47" t="s">
        <v>196</v>
      </c>
      <c r="H40" s="51">
        <v>100</v>
      </c>
      <c r="I40" s="52"/>
      <c r="J40" s="30" t="s">
        <v>236</v>
      </c>
      <c r="K40" s="34"/>
      <c r="L40" s="44"/>
      <c r="M40" s="145"/>
      <c r="N40" s="21"/>
      <c r="O40" s="38"/>
      <c r="P40" s="41"/>
      <c r="Q40" s="38"/>
      <c r="R40" s="47"/>
      <c r="S40" s="51"/>
      <c r="T40" s="52"/>
      <c r="U40" s="34"/>
      <c r="V40" s="39"/>
      <c r="W40" s="38"/>
      <c r="X40" s="45"/>
    </row>
    <row r="41" spans="2:24" s="1" customFormat="1" ht="16.5" customHeight="1" x14ac:dyDescent="0.3">
      <c r="B41" s="1" t="s">
        <v>254</v>
      </c>
      <c r="C41" s="46"/>
      <c r="D41" s="38">
        <v>8</v>
      </c>
      <c r="E41" s="41" t="s">
        <v>237</v>
      </c>
      <c r="F41" s="38"/>
      <c r="G41" s="47" t="s">
        <v>196</v>
      </c>
      <c r="H41" s="54" t="s">
        <v>233</v>
      </c>
      <c r="I41" s="52"/>
      <c r="J41" s="30" t="s">
        <v>238</v>
      </c>
      <c r="K41" s="34"/>
      <c r="L41" s="44"/>
      <c r="M41" s="145"/>
      <c r="N41" s="21"/>
      <c r="O41" s="38"/>
      <c r="P41" s="41"/>
      <c r="Q41" s="38"/>
      <c r="R41" s="47"/>
      <c r="S41" s="34"/>
      <c r="T41" s="33"/>
      <c r="U41" s="55"/>
      <c r="V41" s="39"/>
      <c r="W41" s="38"/>
      <c r="X41" s="45"/>
    </row>
    <row r="42" spans="2:24" s="1" customFormat="1" ht="16.5" customHeight="1" x14ac:dyDescent="0.3">
      <c r="B42" s="1" t="s">
        <v>254</v>
      </c>
      <c r="C42" s="46"/>
      <c r="D42" s="38">
        <v>9</v>
      </c>
      <c r="E42" s="41" t="s">
        <v>239</v>
      </c>
      <c r="F42" s="38"/>
      <c r="G42" s="47" t="s">
        <v>196</v>
      </c>
      <c r="H42" s="51">
        <v>250</v>
      </c>
      <c r="I42" s="52"/>
      <c r="J42" s="30" t="s">
        <v>240</v>
      </c>
      <c r="K42" s="34"/>
      <c r="L42" s="44"/>
      <c r="M42" s="145"/>
      <c r="N42" s="21"/>
      <c r="O42" s="38"/>
      <c r="P42" s="34"/>
      <c r="Q42" s="38"/>
      <c r="R42" s="39"/>
      <c r="S42" s="39"/>
      <c r="T42" s="33"/>
      <c r="U42" s="34"/>
      <c r="V42" s="39"/>
      <c r="W42" s="38"/>
      <c r="X42" s="45"/>
    </row>
    <row r="43" spans="2:24" s="1" customFormat="1" x14ac:dyDescent="0.3">
      <c r="D43" s="4"/>
      <c r="G43" s="2"/>
      <c r="J43" s="5"/>
      <c r="L43" s="6"/>
      <c r="M43" s="6"/>
      <c r="O43" s="4"/>
      <c r="R43" s="2"/>
      <c r="U43" s="5"/>
      <c r="W43" s="6"/>
    </row>
    <row r="44" spans="2:24" ht="156.75" customHeight="1" x14ac:dyDescent="0.3">
      <c r="C44" s="56" t="s">
        <v>241</v>
      </c>
      <c r="D44" s="75" t="s">
        <v>244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7"/>
    </row>
    <row r="45" spans="2:24" ht="148.5" customHeight="1" x14ac:dyDescent="0.3">
      <c r="C45" s="15" t="s">
        <v>246</v>
      </c>
      <c r="D45" s="132" t="s">
        <v>251</v>
      </c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4"/>
    </row>
  </sheetData>
  <mergeCells count="48">
    <mergeCell ref="D45:X45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44:X44"/>
    <mergeCell ref="X20:X21"/>
    <mergeCell ref="C15:F15"/>
    <mergeCell ref="G15:L15"/>
    <mergeCell ref="N15:Q15"/>
    <mergeCell ref="R15:W15"/>
    <mergeCell ref="C16:L16"/>
    <mergeCell ref="N16:W16"/>
    <mergeCell ref="C20:L20"/>
    <mergeCell ref="N20:W20"/>
  </mergeCells>
  <phoneticPr fontId="2" type="noConversion"/>
  <dataValidations count="2">
    <dataValidation type="list" allowBlank="1" showInputMessage="1" showErrorMessage="1" sqref="I30:I31 T30:T31">
      <formula1>$O$3:$O$4</formula1>
    </dataValidation>
    <dataValidation type="list" allowBlank="1" showInputMessage="1" showErrorMessage="1" sqref="G11:M11">
      <formula1>$C$3:$C$41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T33:T42 I33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I34:I42</xm:sqref>
        </x14:dataValidation>
        <x14:dataValidation type="list" allowBlank="1" showInputMessage="1" showErrorMessage="1">
          <x14:formula1>
            <xm:f>'\\hqfs1\00_ITO 공통\2022_데이터플랫폼 기반 BI 고도화\매핑정의서\COST\[인터페이스_매핑정의서_ECST_BI_MFG_COGS_DETAILS.xlsx]Code'!#REF!</xm:f>
          </x14:formula1>
          <xm:sqref>I18 T18 I22:I29 T22:T29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E0DF9E-5E51-4206-8D06-FF87B0309A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efe72180-9972-4f46-9c03-3d142a8e36e2"/>
    <ds:schemaRef ds:uri="546aa48d-480f-4c7b-808b-798d1e0b2ccb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IF_SRD_DPS_ERP_0138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박현아 (CSPI)</cp:lastModifiedBy>
  <dcterms:modified xsi:type="dcterms:W3CDTF">2022-09-30T04:38:39Z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