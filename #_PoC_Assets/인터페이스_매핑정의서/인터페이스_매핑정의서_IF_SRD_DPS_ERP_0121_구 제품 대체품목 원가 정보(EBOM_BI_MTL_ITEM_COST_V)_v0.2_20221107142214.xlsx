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8800" windowHeight="12255" tabRatio="836" activeTab="2"/>
  </bookViews>
  <sheets>
    <sheet name="변경이력관리" sheetId="2" r:id="rId1"/>
    <sheet name="Code" sheetId="8" state="hidden" r:id="rId2"/>
    <sheet name="IF_SRD_DPS_ERP_0121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<sst xmlns="http://schemas.openxmlformats.org/spreadsheetml/2006/main" count="475" uniqueCount="284">
  <si>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</si>
  <si>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</si>
  <si>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</si>
  <si>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</si>
  <si>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</si>
  <si>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</si>
  <si>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</si>
  <si>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</si>
  <si>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</si>
  <si>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</si>
  <si>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</si>
  <si>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</si>
  <si>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</si>
  <si>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</si>
  <si>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</si>
  <si>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</si>
  <si>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</si>
  <si>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</si>
  <si>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</si>
  <si>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</si>
  <si>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</si>
  <si>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</si>
  <si>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</si>
  <si>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</si>
  <si>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</si>
  <si>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</si>
  <si>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</si>
  <si>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</si>
  <si>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</si>
  <si>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</si>
  <si>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</si>
  <si>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</si>
  <si>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</si>
  <si>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</si>
  <si>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</si>
  <si>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</si>
  <si>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</si>
  <si>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</si>
  <si>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</si>
  <si>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</si>
  <si>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</si>
  <si>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</si>
  <si>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</si>
  <si>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</si>
  <si>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</si>
  <si>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</si>
  <si>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</si>
  <si>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</si>
  <si>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</si>
  <si>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</si>
  <si>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</si>
  <si>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</si>
  <si>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</si>
  <si>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</si>
  <si>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</si>
  <si>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</si>
  <si>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</si>
  <si>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</si>
  <si>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</si>
  <si>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</si>
  <si>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</si>
  <si>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</si>
  <si>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</si>
  <si>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</si>
  <si>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</si>
  <si>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</si>
  <si>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</si>
  <si>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</si>
  <si>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</si>
  <si>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</si>
  <si>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</si>
  <si>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</si>
  <si>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</si>
  <si>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</si>
  <si>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</si>
  <si>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</si>
  <si>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</si>
  <si>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</si>
  <si>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</si>
  <si>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</si>
  <si>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</si>
  <si>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</si>
  <si>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</si>
  <si>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</si>
  <si>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</si>
  <si>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</si>
  <si>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</si>
  <si>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</si>
  <si>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</si>
  <si>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</si>
  <si>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</si>
  <si>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</si>
  <si>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</si>
  <si>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</si>
  <si>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</si>
  <si>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</si>
  <si>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</si>
  <si>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</si>
  <si>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</si>
  <si>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</si>
  <si>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</si>
  <si>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</si>
  <si>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</si>
  <si>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</si>
  <si>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</si>
  <si>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</si>
  <si>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</si>
  <si>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</si>
  <si>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</si>
  <si>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</si>
  <si>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</si>
  <si>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</si>
  <si>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</si>
  <si>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</si>
  <si>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</si>
  <si>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</si>
  <si>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</si>
  <si>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</si>
  <si>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</si>
  <si>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</si>
  <si>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</si>
  <si>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</si>
  <si>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</si>
  <si>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</si>
  <si>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</si>
  <si>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</si>
  <si>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</si>
  <si>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</si>
  <si>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</si>
  <si>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</si>
  <si>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</si>
  <si>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</si>
  <si>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</si>
  <si>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</si>
  <si>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</si>
  <si>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</si>
  <si>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</si>
  <si>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</si>
  <si>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</si>
  <si>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</si>
  <si>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</si>
  <si>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</si>
  <si>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</si>
  <si>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</si>
  <si>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</si>
  <si>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</si>
  <si>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</si>
  <si>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</si>
  <si>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</si>
  <si>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</si>
  <si>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</si>
  <si>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</si>
  <si>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</si>
  <si>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</si>
  <si>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</si>
  <si>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</si>
  <si>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</si>
  <si>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구 제품 대체품목 원가 정보</t>
    <phoneticPr fontId="2" type="noConversion"/>
  </si>
  <si>
    <t>Description</t>
  </si>
  <si>
    <t>구 제품 대체품목의 원가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</si>
  <si>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</si>
  <si>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</si>
  <si>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</si>
  <si>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</si>
  <si>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</si>
  <si>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</si>
  <si>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</si>
  <si>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</si>
  <si>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</si>
  <si>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</si>
  <si>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</si>
  <si>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</si>
  <si>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연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</si>
  <si>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</si>
  <si>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</si>
  <si>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</si>
  <si>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</si>
  <si>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</si>
  <si>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</si>
  <si>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</si>
  <si>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</si>
  <si>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</si>
  <si>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</si>
  <si>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</si>
  <si>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</si>
  <si>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</si>
  <si>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</si>
  <si>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</si>
  <si>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</si>
  <si>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</si>
  <si>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</si>
  <si>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</si>
  <si>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</si>
  <si>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</si>
  <si>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</t>
    <phoneticPr fontId="2" type="noConversion"/>
  </si>
  <si>
    <t>From 연도</t>
    <phoneticPr fontId="2" type="noConversion"/>
  </si>
  <si>
    <t>YYYY</t>
    <phoneticPr fontId="2" type="noConversion"/>
  </si>
  <si>
    <t>EBOM_NEW_ITEM_MAPPING</t>
    <phoneticPr fontId="2" type="noConversion"/>
  </si>
  <si>
    <t>VARCHAR2</t>
    <phoneticPr fontId="2" type="noConversion"/>
  </si>
  <si>
    <t>연도</t>
    <phoneticPr fontId="2" type="noConversion"/>
  </si>
  <si>
    <t>TO_YYYY</t>
    <phoneticPr fontId="2" type="noConversion"/>
  </si>
  <si>
    <t>To 연도</t>
    <phoneticPr fontId="2" type="noConversion"/>
  </si>
  <si>
    <t>Field</t>
    <phoneticPr fontId="2" type="noConversion"/>
  </si>
  <si>
    <t>EBOM_BI_MTL_ITEM_COST_V</t>
  </si>
  <si>
    <t>YYYY</t>
  </si>
  <si>
    <t>NVARCHAR</t>
  </si>
  <si>
    <t>80</t>
  </si>
  <si>
    <t>MEANING</t>
    <phoneticPr fontId="2" type="noConversion"/>
  </si>
  <si>
    <t>VARCHAR2</t>
  </si>
  <si>
    <t>ORGANIZATION_ID</t>
  </si>
  <si>
    <t>FLOAT</t>
  </si>
  <si>
    <t/>
  </si>
  <si>
    <t>사업장 ID</t>
    <phoneticPr fontId="2" type="noConversion"/>
  </si>
  <si>
    <t>NUMBER</t>
  </si>
  <si>
    <t>ORGANIZATION_CODE</t>
  </si>
  <si>
    <t>3</t>
  </si>
  <si>
    <t>사업장 코드</t>
    <phoneticPr fontId="2" type="noConversion"/>
  </si>
  <si>
    <t>ITEM_ID</t>
  </si>
  <si>
    <t>품목 ID</t>
    <phoneticPr fontId="2" type="noConversion"/>
  </si>
  <si>
    <t>INVENTORY_ITEM_ID</t>
  </si>
  <si>
    <t>ITEM_CODE</t>
  </si>
  <si>
    <t>40</t>
  </si>
  <si>
    <t>품목 코드</t>
    <phoneticPr fontId="2" type="noConversion"/>
  </si>
  <si>
    <t>SEGMENT1</t>
  </si>
  <si>
    <t>MATERIAL_COST</t>
  </si>
  <si>
    <t>제조 원가</t>
    <phoneticPr fontId="2" type="noConversion"/>
  </si>
  <si>
    <t>I_ITEM_COST</t>
  </si>
  <si>
    <t>Imported 원가 (도입재)</t>
    <phoneticPr fontId="2" type="noConversion"/>
  </si>
  <si>
    <t>SUM(CASE WHEN F.RESOURCE_ID IN (2,20,86074) THEN NVL(F.ITEM_COST,0) ELSE 0 END)</t>
    <phoneticPr fontId="2" type="noConversion"/>
  </si>
  <si>
    <t>D_ITEM_COST</t>
  </si>
  <si>
    <t>Domestic 원가 (국내재)</t>
    <phoneticPr fontId="2" type="noConversion"/>
  </si>
  <si>
    <t>SUM(CASE WHEN F.RESOURCE_ID IN (1,19,86073) THEN NVL(F.ITEM_COST,0) ELSE 0 END)</t>
    <phoneticPr fontId="2" type="noConversion"/>
  </si>
  <si>
    <t>O_ITEM_COST</t>
  </si>
  <si>
    <t>상수임</t>
    <phoneticPr fontId="2" type="noConversion"/>
  </si>
  <si>
    <t>NEW_MM</t>
  </si>
  <si>
    <t>2</t>
  </si>
  <si>
    <t>대체품목 생성 월</t>
    <phoneticPr fontId="2" type="noConversion"/>
  </si>
  <si>
    <t>CREATE_MONTH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</si>
  <si>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</si>
  <si>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</si>
  <si>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</si>
  <si>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</si>
  <si>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</si>
  <si>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</si>
  <si>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</si>
  <si>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</si>
  <si>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</si>
  <si>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</si>
  <si>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</si>
  <si>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</si>
  <si>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</si>
  <si>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</si>
  <si>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</si>
  <si>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</si>
  <si>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</si>
  <si>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</si>
  <si>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</si>
  <si>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</si>
  <si>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</si>
  <si>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</si>
  <si>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</si>
  <si>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</si>
  <si>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</si>
  <si>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</si>
  <si>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</si>
  <si>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</si>
  <si>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SELECT    B.MEANING            AS YYYY 
     ,    A.ORGANIZATION_ID    AS ORGANIZATION_ID
     ,    A.ORGANIZATION_CODE  AS ORGANIZATION_CODE
     ,    E.INVENTORY_ITEM_ID  AS ITEM_ID 
     ,    E.SEGMENT1           AS ITEM_CODE 
     ,    D.MATERIAL_COST      AS MATERIAL_COST 
     ,    SUM(CASE WHEN F.RESOURCE_ID IN (2,20,86074) THEN NVL(F.ITEM_COST,0) ELSE 0 END) AS I_ITEM_COST 
     ,    SUM(CASE WHEN F.RESOURCE_ID IN (1,19,86073) THEN NVL(F.ITEM_COST,0) ELSE 0 END) AS D_ITEM_COST 
     ,    0                    AS O_ITEM_COST   
     ,    G.CREATE_MONTH       AS NEW_MM 
  FROM    MTL_PARAMETERS A             
     ,    FND_LOOKUP_VALUES B        
     ,    CST_COST_TYPES C               
     ,    CST_ITEM_COSTS D              
     ,    MTL_SYSTEM_ITEMS_B E           
     ,    CST_ITEM_COST_DETAILS F         
     ,    EBOM_NEW_ITEM_MAPPING G    
 WHERE    A.ORGANIZATION_ID = C.ORGANIZATION_ID 
   AND    B.LOOKUP_TYPE = 'LSIS_BUSINESS_PLAN_DATE' 
   AND    B.ENABLED_FLAG = 'Y' 
   AND    XXCMN_MTZ_PKG.INV_ORG_LOCAL_DATE(A.ORGANIZATION_ID) BETWEEN B.START_DATE_ACTIVE AND NVL(B.END_DATE_ACTIVE,XXCMN_MTZ_PKG.INV_ORG_LOCAL_DATE(A.ORGANIZATION_ID)) 
   AND    C.COST_TYPE = 'PLN'||SUBSTR(B.MEANING,-2)||'00' 
   AND    C.ORGANIZATION_ID = D.ORGANIZATION_ID 
   AND    C.COST_TYPE_ID = D.COST_TYPE_ID 
   AND    D.ORGANIZATION_ID = E.ORGANIZATION_ID 
   AND    D.INVENTORY_ITEM_ID = E.INVENTORY_ITEM_ID 
   AND    D.INVENTORY_ITEM_ID = F.INVENTORY_ITEM_ID 
   AND    D.ORGANIZATION_ID = F.ORGANIZATION_ID 
   AND    D.COST_TYPE_ID = F.COST_TYPE_ID 
   AND    F.RESOURCE_ID IN (1,19 ,2,20,86073,86074) 
   AND    B.MEANING &gt;= NVL(&amp;FROM_YYYY,TO_CHAR(ADD_MONTHS(TRUNC(SYSDATE-1,'MM'),-1),'YYYY'))
   AND    B.MEANING &lt;= NVL(&amp;TO_YYYY,TO_CHAR(ADD_MONTHS(TRUNC(SYSDATE,'MM'),-1),'YYYY'))
   AND    G.YYYY(+) &gt;= NVL(&amp;FROM_YYYY,TO_CHAR(ADD_MONTHS(TRUNC(SYSDATE-1,'MM'),-1),'YYYY'))
   AND    G.YYYY(+) &lt;= NVL(&amp;TO_YYYY,TO_CHAR(ADD_MONTHS(TRUNC(SYSDATE,'MM'),-1),'YYYY'))
   AND    D.ORGANIZATION_ID = G.ORGANIZATION_ID(+) 
   AND    D.INVENTORY_ITEM_ID = G.N_ITEM_ID(+)
 GROUP BY B.MEANING
     ,    A.ORGANIZATION_ID
     ,    A.ORGANIZATION_CODE
     ,    E.INVENTORY_ITEM_ID
     ,    E.SEGMENT1
     ,    D.MATERIAL_COST
     ,    G.CREATE_MONTH</t>
    <phoneticPr fontId="2" type="noConversion"/>
  </si>
  <si>
    <t>IF_SRD_DPS_ERP_0121</t>
    <phoneticPr fontId="2" type="noConversion"/>
  </si>
  <si>
    <t>EBOM_BI_MTL_ITEM_COST_V</t>
    <phoneticPr fontId="2" type="noConversion"/>
  </si>
  <si>
    <t xml:space="preserve"> SELECT   /* IF_SRD_DPS_ERP_0121 구 제품 대체품목 원가 정보 (EBOM_BI_MTL_ITEM_COST_V) */
          B.MEANING            AS YYYY 
     ,    TO_CHAR(A.ORGANIZATION_ID)    AS ORGANIZATION_ID
     ,    A.ORGANIZATION_CODE  AS ORGANIZATION_CODE
     ,    TO_CHAR(E.INVENTORY_ITEM_ID)  AS ITEM_ID 
     ,    E.SEGMENT1           AS ITEM_CODE 
     ,    TO_CHAR(D.MATERIAL_COST)      AS MATERIAL_COST 
     ,    TO_CHAR(SUM(CASE WHEN F.RESOURCE_ID IN (2,20,86074) THEN NVL(F.ITEM_COST,0) ELSE 0 END)) AS I_ITEM_COST 
     ,    TO_CHAR(SUM(CASE WHEN F.RESOURCE_ID IN (1,19,86073) THEN NVL(F.ITEM_COST,0) ELSE 0 END)) AS D_ITEM_COST 
     ,    0                    AS O_ITEM_COST   
     ,    G.CREATE_MONTH       AS NEW_MM 
  FROM    APPS.MTL_PARAMETERS A             
     ,    APPS.FND_LOOKUP_VALUES B        
     ,    APPS.CST_COST_TYPES C               
     ,    APPS.CST_ITEM_COSTS D              
     ,    APPS.MTL_SYSTEM_ITEMS_B E           
     ,    APPS.CST_ITEM_COST_DETAILS F         
     ,    APPS.EBOM_NEW_ITEM_MAPPING G    
 WHERE    A.ORGANIZATION_ID = C.ORGANIZATION_ID 
   AND    B.LOOKUP_TYPE = 'LSIS_BUSINESS_PLAN_DATE' 
   AND    B.ENABLED_FLAG = 'Y' 
   AND    XXCMN_MTZ_PKG.INV_ORG_LOCAL_DATE(A.ORGANIZATION_ID) BETWEEN B.START_DATE_ACTIVE AND NVL(B.END_DATE_ACTIVE,XXCMN_MTZ_PKG.INV_ORG_LOCAL_DATE(A.ORGANIZATION_ID)) 
   AND    C.COST_TYPE = 'PLN'||SUBSTR(B.MEANING,-2)||'00' 
   AND    C.ORGANIZATION_ID = D.ORGANIZATION_ID 
   AND    C.COST_TYPE_ID = D.COST_TYPE_ID 
   AND    D.ORGANIZATION_ID = E.ORGANIZATION_ID 
   AND    D.INVENTORY_ITEM_ID = E.INVENTORY_ITEM_ID 
   AND    D.INVENTORY_ITEM_ID = F.INVENTORY_ITEM_ID 
   AND    D.ORGANIZATION_ID = F.ORGANIZATION_ID 
   AND    D.COST_TYPE_ID = F.COST_TYPE_ID 
   AND    F.RESOURCE_ID IN (1,19 ,2,20,86073,86074) 
   AND    B.MEANING &gt;= NVL(? ,TO_CHAR(ADD_MONTHS(TRUNC(SYSDATE-1,'MM'),-1),'YYYY'))
   AND    B.MEANING &lt;= NVL(? ,TO_CHAR(ADD_MONTHS(TRUNC(SYSDATE,'MM'),-1),'YYYY'))
   AND    G.YYYY(+) &gt;= NVL(? ,TO_CHAR(ADD_MONTHS(TRUNC(SYSDATE-1,'MM'),-1),'YYYY'))
   AND    G.YYYY(+) &lt;= NVL(? ,TO_CHAR(ADD_MONTHS(TRUNC(SYSDATE,'MM'),-1),'YYYY'))
   AND    D.ORGANIZATION_ID = G.ORGANIZATION_ID(+) 
   AND    D.INVENTORY_ITEM_ID = G.N_ITEM_ID(+)
 GROUP BY B.MEANING
     ,    A.ORGANIZATION_ID
     ,    A.ORGANIZATION_CODE
     ,    E.INVENTORY_ITEM_ID
     ,    E.SEGMENT1
     ,    D.MATERIAL_COST
     ,    G.CREATE_MONTH  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</si>
  <si>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</si>
  <si>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</si>
  <si>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</si>
  <si>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R2</t>
    <phoneticPr fontId="2" type="noConversion"/>
  </si>
  <si>
    <t>S2</t>
    <phoneticPr fontId="2" type="noConversion"/>
  </si>
  <si>
    <t>TEXT</t>
    <phoneticPr fontId="2" type="noConversion"/>
  </si>
  <si>
    <t>정주성</t>
    <phoneticPr fontId="2" type="noConversion"/>
  </si>
  <si>
    <t>EAI 쿼리추가</t>
    <phoneticPr fontId="4" type="noConversion"/>
  </si>
  <si>
    <t>2022.09.30</t>
    <phoneticPr fontId="2" type="noConversion"/>
  </si>
  <si>
    <t>SQL Query
(EAI 사용쿼리)</t>
    <phoneticPr fontId="2" type="noConversion"/>
  </si>
  <si>
    <t>R3</t>
  </si>
  <si>
    <t>R3</t>
    <phoneticPr fontId="2" type="noConversion"/>
  </si>
  <si>
    <t>R3</t>
    <phoneticPr fontId="2" type="noConversion"/>
  </si>
  <si>
    <t>EBOM_BI_MTL_ITEM_COST_V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</si>
</sst>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5" fillId="2" borderId="34" xfId="0" applyFont="1" applyFill="1" applyBorder="1" applyAlignment="1">
      <alignment horizontal="left" vertical="center" wrapText="1"/>
    </xf>
    <xf numFmtId="0" fontId="26" fillId="0" borderId="34" xfId="6" applyFont="1" applyBorder="1" applyAlignment="1">
      <alignment horizontal="left" vertical="center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2" borderId="34" xfId="0" applyFont="1" applyFill="1" applyBorder="1" applyAlignment="1">
      <alignment horizontal="left" vertical="center" wrapText="1"/>
    </xf>
    <xf numFmtId="0" fontId="9" fillId="0" borderId="34" xfId="0" applyFont="1" applyBorder="1">
      <alignment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1" fontId="0" fillId="0" borderId="34" xfId="0" applyNumberFormat="1" applyBorder="1" applyAlignment="1">
      <alignment horizontal="right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left" vertical="center" wrapText="1"/>
    </xf>
    <xf numFmtId="0" fontId="12" fillId="10" borderId="36" xfId="1" applyFont="1" applyFill="1" applyBorder="1" applyAlignment="1">
      <alignment horizontal="left" vertical="center" wrapText="1"/>
    </xf>
    <xf numFmtId="0" fontId="12" fillId="10" borderId="40" xfId="1" applyFont="1" applyFill="1" applyBorder="1" applyAlignment="1">
      <alignment horizontal="left" vertical="center" wrapText="1"/>
    </xf>
    <xf numFmtId="0" fontId="12" fillId="10" borderId="16" xfId="1" applyFont="1" applyFill="1" applyBorder="1" applyAlignment="1">
      <alignment horizontal="left" vertical="center" wrapText="1"/>
    </xf>
    <xf numFmtId="0" fontId="12" fillId="10" borderId="17" xfId="1" applyFont="1" applyFill="1" applyBorder="1" applyAlignment="1">
      <alignment horizontal="left" vertical="center" wrapText="1"/>
    </xf>
    <xf numFmtId="0" fontId="12" fillId="10" borderId="18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9" borderId="21" xfId="7" applyFont="1" applyFill="1" applyBorder="1" applyAlignment="1">
      <alignment horizontal="left" vertical="center" wrapText="1"/>
    </xf>
    <xf numFmtId="0" fontId="11" fillId="9" borderId="22" xfId="1" applyFont="1" applyFill="1" applyBorder="1" applyAlignment="1">
      <alignment horizontal="center" vertical="center" wrapText="1"/>
    </xf>
    <xf numFmtId="0" fontId="11" fillId="9" borderId="2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39" xfId="1" applyFont="1" applyFill="1" applyBorder="1" applyAlignment="1">
      <alignment horizontal="left" vertical="center" wrapText="1"/>
    </xf>
    <xf numFmtId="0" fontId="12" fillId="9" borderId="36" xfId="1" applyFont="1" applyFill="1" applyBorder="1" applyAlignment="1">
      <alignment horizontal="left" vertical="center" wrapText="1"/>
    </xf>
    <xf numFmtId="0" fontId="12" fillId="9" borderId="40" xfId="1" applyFont="1" applyFill="1" applyBorder="1" applyAlignment="1">
      <alignment horizontal="left" vertical="center" wrapText="1"/>
    </xf>
    <xf numFmtId="0" fontId="12" fillId="9" borderId="16" xfId="1" applyFont="1" applyFill="1" applyBorder="1" applyAlignment="1">
      <alignment horizontal="left" vertical="center" wrapText="1"/>
    </xf>
    <xf numFmtId="0" fontId="12" fillId="9" borderId="17" xfId="1" applyFont="1" applyFill="1" applyBorder="1" applyAlignment="1">
      <alignment horizontal="left" vertical="center" wrapText="1"/>
    </xf>
    <xf numFmtId="0" fontId="12" fillId="9" borderId="18" xfId="1" applyFont="1" applyFill="1" applyBorder="1" applyAlignment="1">
      <alignment horizontal="left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변경이력관리"/>
      <sheetName val="IF_SRD_DPS_EBIZ_XXXX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B12" sqref="B12:C1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2" t="s">
        <v>4</v>
      </c>
      <c r="C5" s="83"/>
      <c r="D5" s="84" t="s">
        <v>5</v>
      </c>
      <c r="E5" s="83"/>
      <c r="F5" s="84" t="s">
        <v>1</v>
      </c>
      <c r="G5" s="85"/>
      <c r="H5" s="85"/>
      <c r="I5" s="85"/>
      <c r="J5" s="83"/>
      <c r="K5" s="84" t="s">
        <v>6</v>
      </c>
      <c r="L5" s="86"/>
      <c r="M5" s="9"/>
      <c r="N5" s="82" t="s">
        <v>4</v>
      </c>
      <c r="O5" s="83"/>
      <c r="P5" s="84" t="s">
        <v>5</v>
      </c>
      <c r="Q5" s="83"/>
      <c r="R5" s="84" t="s">
        <v>1</v>
      </c>
      <c r="S5" s="85"/>
      <c r="T5" s="85"/>
      <c r="U5" s="85"/>
      <c r="V5" s="83"/>
      <c r="W5" s="84" t="s">
        <v>6</v>
      </c>
      <c r="X5" s="86"/>
    </row>
    <row r="6" spans="1:24" x14ac:dyDescent="0.3">
      <c r="A6" s="9"/>
      <c r="B6" s="72"/>
      <c r="C6" s="73"/>
      <c r="D6" s="74"/>
      <c r="E6" s="73"/>
      <c r="F6" s="80" t="s">
        <v>7</v>
      </c>
      <c r="G6" s="76"/>
      <c r="H6" s="76"/>
      <c r="I6" s="76"/>
      <c r="J6" s="77"/>
      <c r="K6" s="74">
        <v>0.1</v>
      </c>
      <c r="L6" s="81"/>
      <c r="M6" s="9"/>
      <c r="N6" s="72" t="s">
        <v>8</v>
      </c>
      <c r="O6" s="73"/>
      <c r="P6" s="74" t="s">
        <v>9</v>
      </c>
      <c r="Q6" s="73"/>
      <c r="R6" s="80" t="s">
        <v>7</v>
      </c>
      <c r="S6" s="76"/>
      <c r="T6" s="76"/>
      <c r="U6" s="76"/>
      <c r="V6" s="77"/>
      <c r="W6" s="74">
        <v>0.1</v>
      </c>
      <c r="X6" s="81"/>
    </row>
    <row r="7" spans="1:24" x14ac:dyDescent="0.3">
      <c r="A7" s="9"/>
      <c r="B7" s="72"/>
      <c r="C7" s="73"/>
      <c r="D7" s="74"/>
      <c r="E7" s="73"/>
      <c r="F7" s="80"/>
      <c r="G7" s="76"/>
      <c r="H7" s="76"/>
      <c r="I7" s="76"/>
      <c r="J7" s="77"/>
      <c r="K7" s="74"/>
      <c r="L7" s="81"/>
      <c r="M7" s="9"/>
      <c r="N7" s="72"/>
      <c r="O7" s="73"/>
      <c r="P7" s="74"/>
      <c r="Q7" s="73"/>
      <c r="R7" s="75"/>
      <c r="S7" s="76"/>
      <c r="T7" s="76"/>
      <c r="U7" s="76"/>
      <c r="V7" s="77"/>
      <c r="W7" s="74"/>
      <c r="X7" s="81"/>
    </row>
    <row r="8" spans="1:24" x14ac:dyDescent="0.3">
      <c r="A8" s="9"/>
      <c r="B8" s="72"/>
      <c r="C8" s="73"/>
      <c r="D8" s="74"/>
      <c r="E8" s="73"/>
      <c r="F8" s="75"/>
      <c r="G8" s="76"/>
      <c r="H8" s="76"/>
      <c r="I8" s="76"/>
      <c r="J8" s="77"/>
      <c r="K8" s="78"/>
      <c r="L8" s="79"/>
      <c r="M8" s="9"/>
      <c r="N8" s="72"/>
      <c r="O8" s="73"/>
      <c r="P8" s="74"/>
      <c r="Q8" s="73"/>
      <c r="R8" s="75"/>
      <c r="S8" s="76"/>
      <c r="T8" s="76"/>
      <c r="U8" s="76"/>
      <c r="V8" s="77"/>
      <c r="W8" s="78"/>
      <c r="X8" s="79"/>
    </row>
    <row r="9" spans="1:24" x14ac:dyDescent="0.3">
      <c r="A9" s="9"/>
      <c r="B9" s="72"/>
      <c r="C9" s="73"/>
      <c r="D9" s="74"/>
      <c r="E9" s="73"/>
      <c r="F9" s="75"/>
      <c r="G9" s="76"/>
      <c r="H9" s="76"/>
      <c r="I9" s="76"/>
      <c r="J9" s="77"/>
      <c r="K9" s="78"/>
      <c r="L9" s="79"/>
      <c r="M9" s="9"/>
      <c r="N9" s="72"/>
      <c r="O9" s="73"/>
      <c r="P9" s="74"/>
      <c r="Q9" s="73"/>
      <c r="R9" s="75"/>
      <c r="S9" s="76"/>
      <c r="T9" s="76"/>
      <c r="U9" s="76"/>
      <c r="V9" s="77"/>
      <c r="W9" s="78"/>
      <c r="X9" s="79"/>
    </row>
    <row r="10" spans="1:24" ht="17.25" thickBot="1" x14ac:dyDescent="0.35"/>
    <row r="11" spans="1:24" x14ac:dyDescent="0.3">
      <c r="B11" s="82" t="s">
        <v>4</v>
      </c>
      <c r="C11" s="83"/>
      <c r="D11" s="84" t="s">
        <v>5</v>
      </c>
      <c r="E11" s="83"/>
      <c r="F11" s="84" t="s">
        <v>1</v>
      </c>
      <c r="G11" s="85"/>
      <c r="H11" s="85"/>
      <c r="I11" s="85"/>
      <c r="J11" s="83"/>
      <c r="K11" s="84" t="s">
        <v>6</v>
      </c>
      <c r="L11" s="86"/>
    </row>
    <row r="12" spans="1:24" x14ac:dyDescent="0.3">
      <c r="B12" s="72" t="s">
        <v>278</v>
      </c>
      <c r="C12" s="73"/>
      <c r="D12" s="74" t="s">
        <v>276</v>
      </c>
      <c r="E12" s="73"/>
      <c r="F12" s="80" t="s">
        <v>277</v>
      </c>
      <c r="G12" s="76"/>
      <c r="H12" s="76"/>
      <c r="I12" s="76"/>
      <c r="J12" s="77"/>
      <c r="K12" s="74">
        <v>0.1</v>
      </c>
      <c r="L12" s="81"/>
    </row>
    <row r="13" spans="1:24" x14ac:dyDescent="0.3">
      <c r="B13" s="72"/>
      <c r="C13" s="73"/>
      <c r="D13" s="74"/>
      <c r="E13" s="73"/>
      <c r="F13" s="80"/>
      <c r="G13" s="76"/>
      <c r="H13" s="76"/>
      <c r="I13" s="76"/>
      <c r="J13" s="77"/>
      <c r="K13" s="74"/>
      <c r="L13" s="81"/>
    </row>
    <row r="14" spans="1:24" x14ac:dyDescent="0.3">
      <c r="B14" s="72"/>
      <c r="C14" s="73"/>
      <c r="D14" s="74"/>
      <c r="E14" s="73"/>
      <c r="F14" s="75"/>
      <c r="G14" s="76"/>
      <c r="H14" s="76"/>
      <c r="I14" s="76"/>
      <c r="J14" s="77"/>
      <c r="K14" s="78"/>
      <c r="L14" s="79"/>
    </row>
    <row r="15" spans="1:24" x14ac:dyDescent="0.3">
      <c r="B15" s="72"/>
      <c r="C15" s="73"/>
      <c r="D15" s="74"/>
      <c r="E15" s="73"/>
      <c r="F15" s="75"/>
      <c r="G15" s="76"/>
      <c r="H15" s="76"/>
      <c r="I15" s="76"/>
      <c r="J15" s="77"/>
      <c r="K15" s="78"/>
      <c r="L15" s="79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1:C11"/>
    <mergeCell ref="D11:E11"/>
    <mergeCell ref="F11:J11"/>
    <mergeCell ref="K11:L11"/>
    <mergeCell ref="B12:C12"/>
    <mergeCell ref="D12:E12"/>
    <mergeCell ref="F12:J12"/>
    <mergeCell ref="K12:L12"/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53"/>
  <sheetViews>
    <sheetView tabSelected="1" zoomScale="70" zoomScaleNormal="70" workbookViewId="0">
      <selection activeCell="M1" sqref="M1:M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4.125" style="3" customWidth="1"/>
    <col min="6" max="6" width="4.25" style="3" bestFit="1" customWidth="1"/>
    <col min="7" max="7" width="10.625" style="3" bestFit="1" customWidth="1"/>
    <col min="8" max="8" width="5.5" style="3" bestFit="1" customWidth="1"/>
    <col min="9" max="9" width="7.75" style="3" customWidth="1"/>
    <col min="10" max="10" width="26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4.125" style="3" customWidth="1"/>
    <col min="17" max="17" width="4.375" style="3" customWidth="1"/>
    <col min="18" max="18" width="11.25" style="3" bestFit="1" customWidth="1"/>
    <col min="19" max="19" width="5" style="3" customWidth="1"/>
    <col min="20" max="20" width="9" style="3" customWidth="1"/>
    <col min="21" max="21" width="26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1" t="s">
        <v>154</v>
      </c>
      <c r="D2" s="132"/>
      <c r="E2" s="132"/>
      <c r="F2" s="132"/>
      <c r="G2" s="132"/>
      <c r="H2" s="132"/>
      <c r="I2" s="132"/>
      <c r="J2" s="132"/>
      <c r="K2" s="132"/>
      <c r="L2" s="132"/>
      <c r="M2" s="133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3:24" ht="16.5" customHeight="1" x14ac:dyDescent="0.3">
      <c r="C3" s="25" t="s">
        <v>155</v>
      </c>
      <c r="D3" s="112" t="s">
        <v>267</v>
      </c>
      <c r="E3" s="113"/>
      <c r="F3" s="113"/>
      <c r="G3" s="113"/>
      <c r="H3" s="114"/>
      <c r="I3" s="134" t="s">
        <v>156</v>
      </c>
      <c r="J3" s="134"/>
      <c r="K3" s="117" t="s">
        <v>157</v>
      </c>
      <c r="L3" s="118"/>
      <c r="M3" s="65"/>
      <c r="N3" s="26" t="s">
        <v>158</v>
      </c>
      <c r="O3" s="119" t="s">
        <v>159</v>
      </c>
      <c r="P3" s="120"/>
      <c r="Q3" s="120"/>
      <c r="R3" s="120"/>
      <c r="S3" s="120"/>
      <c r="T3" s="120"/>
      <c r="U3" s="121"/>
      <c r="V3" s="26" t="s">
        <v>160</v>
      </c>
      <c r="W3" s="135">
        <v>44830</v>
      </c>
      <c r="X3" s="118"/>
    </row>
    <row r="4" spans="3:24" ht="16.5" customHeight="1" x14ac:dyDescent="0.3">
      <c r="C4" s="25" t="s">
        <v>161</v>
      </c>
      <c r="D4" s="112" t="s">
        <v>162</v>
      </c>
      <c r="E4" s="113"/>
      <c r="F4" s="113"/>
      <c r="G4" s="113"/>
      <c r="H4" s="114"/>
      <c r="I4" s="115" t="s">
        <v>15</v>
      </c>
      <c r="J4" s="116"/>
      <c r="K4" s="117" t="s">
        <v>163</v>
      </c>
      <c r="L4" s="118"/>
      <c r="M4" s="65"/>
      <c r="N4" s="26" t="s">
        <v>164</v>
      </c>
      <c r="O4" s="119" t="s">
        <v>165</v>
      </c>
      <c r="P4" s="120"/>
      <c r="Q4" s="120"/>
      <c r="R4" s="120"/>
      <c r="S4" s="120"/>
      <c r="T4" s="120"/>
      <c r="U4" s="121"/>
      <c r="V4" s="26" t="s">
        <v>166</v>
      </c>
      <c r="W4" s="98"/>
      <c r="X4" s="99"/>
    </row>
    <row r="5" spans="3:24" ht="16.5" customHeight="1" x14ac:dyDescent="0.3">
      <c r="C5" s="27" t="s">
        <v>167</v>
      </c>
      <c r="D5" s="122"/>
      <c r="E5" s="123"/>
      <c r="F5" s="123"/>
      <c r="G5" s="123"/>
      <c r="H5" s="124"/>
      <c r="I5" s="125" t="s">
        <v>168</v>
      </c>
      <c r="J5" s="125"/>
      <c r="K5" s="96"/>
      <c r="L5" s="97"/>
      <c r="M5" s="66"/>
      <c r="N5" s="27" t="s">
        <v>169</v>
      </c>
      <c r="O5" s="126"/>
      <c r="P5" s="127"/>
      <c r="Q5" s="127"/>
      <c r="R5" s="127"/>
      <c r="S5" s="127"/>
      <c r="T5" s="127"/>
      <c r="U5" s="128"/>
      <c r="V5" s="27" t="s">
        <v>170</v>
      </c>
      <c r="W5" s="96"/>
      <c r="X5" s="97"/>
    </row>
    <row r="7" spans="3:24" ht="45.75" customHeight="1" x14ac:dyDescent="0.3">
      <c r="C7" s="13" t="s">
        <v>171</v>
      </c>
      <c r="D7" s="108" t="s">
        <v>172</v>
      </c>
      <c r="E7" s="109"/>
      <c r="F7" s="109"/>
      <c r="G7" s="109"/>
      <c r="H7" s="109"/>
      <c r="I7" s="109"/>
      <c r="J7" s="109"/>
      <c r="K7" s="109"/>
      <c r="L7" s="109"/>
      <c r="M7" s="110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11"/>
    </row>
    <row r="8" spans="3:24" ht="27" customHeight="1" x14ac:dyDescent="0.3">
      <c r="C8" s="13" t="s">
        <v>173</v>
      </c>
      <c r="D8" s="108" t="s">
        <v>174</v>
      </c>
      <c r="E8" s="109"/>
      <c r="F8" s="109"/>
      <c r="G8" s="109"/>
      <c r="H8" s="109"/>
      <c r="I8" s="109"/>
      <c r="J8" s="109"/>
      <c r="K8" s="109"/>
      <c r="L8" s="109"/>
      <c r="M8" s="110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11"/>
    </row>
    <row r="10" spans="3:24" ht="38.25" customHeight="1" x14ac:dyDescent="0.3">
      <c r="C10" s="129" t="s">
        <v>175</v>
      </c>
      <c r="D10" s="129"/>
      <c r="E10" s="129"/>
      <c r="F10" s="129"/>
      <c r="G10" s="129"/>
      <c r="H10" s="129"/>
      <c r="I10" s="129"/>
      <c r="J10" s="129"/>
      <c r="K10" s="129"/>
      <c r="L10" s="130"/>
      <c r="M10" s="67"/>
      <c r="N10" s="136" t="s">
        <v>176</v>
      </c>
      <c r="O10" s="129"/>
      <c r="P10" s="129"/>
      <c r="Q10" s="129"/>
      <c r="R10" s="129"/>
      <c r="S10" s="129"/>
      <c r="T10" s="129"/>
      <c r="U10" s="129"/>
      <c r="V10" s="129"/>
      <c r="W10" s="129"/>
      <c r="X10" s="125" t="s">
        <v>177</v>
      </c>
    </row>
    <row r="11" spans="3:24" ht="16.5" customHeight="1" x14ac:dyDescent="0.3">
      <c r="C11" s="138" t="s">
        <v>10</v>
      </c>
      <c r="D11" s="103"/>
      <c r="E11" s="103"/>
      <c r="F11" s="104"/>
      <c r="G11" s="139" t="s">
        <v>178</v>
      </c>
      <c r="H11" s="140"/>
      <c r="I11" s="140"/>
      <c r="J11" s="140"/>
      <c r="K11" s="140"/>
      <c r="L11" s="143"/>
      <c r="M11" s="68"/>
      <c r="N11" s="102" t="s">
        <v>10</v>
      </c>
      <c r="O11" s="103"/>
      <c r="P11" s="103"/>
      <c r="Q11" s="104"/>
      <c r="R11" s="139" t="s">
        <v>44</v>
      </c>
      <c r="S11" s="140"/>
      <c r="T11" s="140"/>
      <c r="U11" s="140"/>
      <c r="V11" s="140"/>
      <c r="W11" s="143"/>
      <c r="X11" s="125"/>
    </row>
    <row r="12" spans="3:24" ht="16.5" customHeight="1" x14ac:dyDescent="0.3">
      <c r="C12" s="138" t="s">
        <v>179</v>
      </c>
      <c r="D12" s="103"/>
      <c r="E12" s="103"/>
      <c r="F12" s="104"/>
      <c r="G12" s="139" t="str">
        <f>VLOOKUP(G11,Code!$B$3:$C$69,2,0)</f>
        <v>DPS</v>
      </c>
      <c r="H12" s="140"/>
      <c r="I12" s="140"/>
      <c r="J12" s="140"/>
      <c r="K12" s="140"/>
      <c r="L12" s="141"/>
      <c r="M12" s="68"/>
      <c r="N12" s="102" t="s">
        <v>179</v>
      </c>
      <c r="O12" s="103"/>
      <c r="P12" s="103"/>
      <c r="Q12" s="104"/>
      <c r="R12" s="139" t="str">
        <f>VLOOKUP(R11,Code!$B$3:$C$69,2,0)</f>
        <v>ERP</v>
      </c>
      <c r="S12" s="140"/>
      <c r="T12" s="140"/>
      <c r="U12" s="140"/>
      <c r="V12" s="140"/>
      <c r="W12" s="141"/>
      <c r="X12" s="104"/>
    </row>
    <row r="13" spans="3:24" ht="16.5" customHeight="1" x14ac:dyDescent="0.3">
      <c r="C13" s="138" t="s">
        <v>180</v>
      </c>
      <c r="D13" s="103"/>
      <c r="E13" s="103"/>
      <c r="F13" s="104"/>
      <c r="G13" s="100"/>
      <c r="H13" s="101"/>
      <c r="I13" s="101"/>
      <c r="J13" s="101"/>
      <c r="K13" s="101"/>
      <c r="L13" s="142"/>
      <c r="M13" s="69"/>
      <c r="N13" s="102" t="s">
        <v>180</v>
      </c>
      <c r="O13" s="103"/>
      <c r="P13" s="103"/>
      <c r="Q13" s="104"/>
      <c r="R13" s="100" t="s">
        <v>181</v>
      </c>
      <c r="S13" s="101"/>
      <c r="T13" s="101"/>
      <c r="U13" s="101"/>
      <c r="V13" s="101"/>
      <c r="W13" s="142"/>
      <c r="X13" s="125"/>
    </row>
    <row r="14" spans="3:24" x14ac:dyDescent="0.3">
      <c r="C14" s="125" t="s">
        <v>182</v>
      </c>
      <c r="D14" s="125"/>
      <c r="E14" s="125"/>
      <c r="F14" s="125"/>
      <c r="G14" s="100" t="s">
        <v>268</v>
      </c>
      <c r="H14" s="101"/>
      <c r="I14" s="101"/>
      <c r="J14" s="101"/>
      <c r="K14" s="101"/>
      <c r="L14" s="101"/>
      <c r="M14" s="69"/>
      <c r="N14" s="102" t="s">
        <v>182</v>
      </c>
      <c r="O14" s="103"/>
      <c r="P14" s="103"/>
      <c r="Q14" s="104"/>
      <c r="R14" s="105" t="s">
        <v>283</v>
      </c>
      <c r="S14" s="106"/>
      <c r="T14" s="106"/>
      <c r="U14" s="106"/>
      <c r="V14" s="106"/>
      <c r="W14" s="107"/>
      <c r="X14" s="125"/>
    </row>
    <row r="15" spans="3:24" ht="16.5" customHeight="1" x14ac:dyDescent="0.3">
      <c r="C15" s="125" t="s">
        <v>12</v>
      </c>
      <c r="D15" s="125"/>
      <c r="E15" s="125"/>
      <c r="F15" s="125"/>
      <c r="G15" s="100" t="s">
        <v>33</v>
      </c>
      <c r="H15" s="101"/>
      <c r="I15" s="101"/>
      <c r="J15" s="101"/>
      <c r="K15" s="101"/>
      <c r="L15" s="142"/>
      <c r="M15" s="69"/>
      <c r="N15" s="152" t="s">
        <v>12</v>
      </c>
      <c r="O15" s="125"/>
      <c r="P15" s="125"/>
      <c r="Q15" s="125"/>
      <c r="R15" s="100" t="s">
        <v>183</v>
      </c>
      <c r="S15" s="101"/>
      <c r="T15" s="101"/>
      <c r="U15" s="101"/>
      <c r="V15" s="101"/>
      <c r="W15" s="142"/>
      <c r="X15" s="125"/>
    </row>
    <row r="16" spans="3:24" ht="16.5" customHeight="1" x14ac:dyDescent="0.3">
      <c r="C16" s="153" t="s">
        <v>184</v>
      </c>
      <c r="D16" s="154"/>
      <c r="E16" s="154"/>
      <c r="F16" s="154"/>
      <c r="G16" s="154"/>
      <c r="H16" s="154"/>
      <c r="I16" s="154"/>
      <c r="J16" s="154"/>
      <c r="K16" s="154"/>
      <c r="L16" s="155"/>
      <c r="M16" s="70"/>
      <c r="N16" s="156" t="s">
        <v>185</v>
      </c>
      <c r="O16" s="154"/>
      <c r="P16" s="154"/>
      <c r="Q16" s="154"/>
      <c r="R16" s="154"/>
      <c r="S16" s="154"/>
      <c r="T16" s="154"/>
      <c r="U16" s="154"/>
      <c r="V16" s="154"/>
      <c r="W16" s="157"/>
      <c r="X16" s="125"/>
    </row>
    <row r="17" spans="2:24" ht="16.5" customHeight="1" x14ac:dyDescent="0.3">
      <c r="C17" s="15" t="s">
        <v>182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8" t="s">
        <v>193</v>
      </c>
      <c r="M17" s="70"/>
      <c r="N17" s="29" t="s">
        <v>182</v>
      </c>
      <c r="O17" s="30" t="s">
        <v>186</v>
      </c>
      <c r="P17" s="30" t="s">
        <v>187</v>
      </c>
      <c r="Q17" s="30" t="s">
        <v>188</v>
      </c>
      <c r="R17" s="30" t="s">
        <v>189</v>
      </c>
      <c r="S17" s="30" t="s">
        <v>190</v>
      </c>
      <c r="T17" s="15" t="s">
        <v>191</v>
      </c>
      <c r="U17" s="30" t="s">
        <v>158</v>
      </c>
      <c r="V17" s="30" t="s">
        <v>192</v>
      </c>
      <c r="W17" s="30" t="s">
        <v>193</v>
      </c>
      <c r="X17" s="137"/>
    </row>
    <row r="18" spans="2:24" s="2" customFormat="1" ht="16.5" customHeight="1" x14ac:dyDescent="0.3">
      <c r="B18" s="2" t="s">
        <v>270</v>
      </c>
      <c r="C18" s="31" t="s">
        <v>33</v>
      </c>
      <c r="D18" s="32">
        <v>1</v>
      </c>
      <c r="E18" s="33" t="s">
        <v>194</v>
      </c>
      <c r="F18" s="34"/>
      <c r="G18" s="35" t="s">
        <v>275</v>
      </c>
      <c r="H18" s="35"/>
      <c r="I18" s="34" t="s">
        <v>23</v>
      </c>
      <c r="J18" s="36" t="s">
        <v>195</v>
      </c>
      <c r="K18" s="37" t="s">
        <v>196</v>
      </c>
      <c r="L18" s="38"/>
      <c r="M18" s="38" t="s">
        <v>274</v>
      </c>
      <c r="N18" s="21" t="s">
        <v>197</v>
      </c>
      <c r="O18" s="32">
        <v>1</v>
      </c>
      <c r="P18" s="33" t="s">
        <v>196</v>
      </c>
      <c r="Q18" s="34"/>
      <c r="R18" s="35" t="s">
        <v>198</v>
      </c>
      <c r="S18" s="35">
        <v>4</v>
      </c>
      <c r="T18" s="34" t="s">
        <v>23</v>
      </c>
      <c r="U18" s="36" t="s">
        <v>199</v>
      </c>
      <c r="V18" s="37" t="s">
        <v>196</v>
      </c>
      <c r="W18" s="39"/>
      <c r="X18" s="40"/>
    </row>
    <row r="19" spans="2:24" s="2" customFormat="1" ht="16.5" customHeight="1" x14ac:dyDescent="0.3">
      <c r="B19" s="2" t="s">
        <v>270</v>
      </c>
      <c r="C19" s="41"/>
      <c r="D19" s="34">
        <v>2</v>
      </c>
      <c r="E19" s="42" t="s">
        <v>200</v>
      </c>
      <c r="F19" s="34"/>
      <c r="G19" s="35" t="s">
        <v>275</v>
      </c>
      <c r="H19" s="35"/>
      <c r="I19" s="34" t="s">
        <v>23</v>
      </c>
      <c r="J19" s="36" t="s">
        <v>201</v>
      </c>
      <c r="K19" s="37" t="s">
        <v>196</v>
      </c>
      <c r="L19" s="38"/>
      <c r="M19" s="38" t="s">
        <v>274</v>
      </c>
      <c r="N19" s="21"/>
      <c r="O19" s="32">
        <v>2</v>
      </c>
      <c r="P19" s="33" t="s">
        <v>196</v>
      </c>
      <c r="Q19" s="34"/>
      <c r="R19" s="35" t="s">
        <v>198</v>
      </c>
      <c r="S19" s="35">
        <v>4</v>
      </c>
      <c r="T19" s="34" t="s">
        <v>23</v>
      </c>
      <c r="U19" s="36" t="s">
        <v>199</v>
      </c>
      <c r="V19" s="37" t="s">
        <v>196</v>
      </c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125" t="s">
        <v>185</v>
      </c>
      <c r="D23" s="125"/>
      <c r="E23" s="125"/>
      <c r="F23" s="125"/>
      <c r="G23" s="125"/>
      <c r="H23" s="125"/>
      <c r="I23" s="125"/>
      <c r="J23" s="125"/>
      <c r="K23" s="125"/>
      <c r="L23" s="138"/>
      <c r="M23" s="71"/>
      <c r="N23" s="152" t="s">
        <v>184</v>
      </c>
      <c r="O23" s="125"/>
      <c r="P23" s="125"/>
      <c r="Q23" s="125"/>
      <c r="R23" s="125"/>
      <c r="S23" s="125"/>
      <c r="T23" s="125"/>
      <c r="U23" s="125"/>
      <c r="V23" s="125"/>
      <c r="W23" s="138"/>
      <c r="X23" s="150" t="s">
        <v>177</v>
      </c>
    </row>
    <row r="24" spans="2:24" ht="16.5" customHeight="1" x14ac:dyDescent="0.3">
      <c r="C24" s="15" t="s">
        <v>182</v>
      </c>
      <c r="D24" s="15" t="s">
        <v>186</v>
      </c>
      <c r="E24" s="15" t="s">
        <v>202</v>
      </c>
      <c r="F24" s="15" t="s">
        <v>188</v>
      </c>
      <c r="G24" s="15" t="s">
        <v>189</v>
      </c>
      <c r="H24" s="15" t="s">
        <v>190</v>
      </c>
      <c r="I24" s="15" t="s">
        <v>191</v>
      </c>
      <c r="J24" s="15" t="s">
        <v>158</v>
      </c>
      <c r="K24" s="15" t="s">
        <v>192</v>
      </c>
      <c r="L24" s="28" t="s">
        <v>193</v>
      </c>
      <c r="M24" s="70"/>
      <c r="N24" s="29" t="s">
        <v>182</v>
      </c>
      <c r="O24" s="30" t="s">
        <v>186</v>
      </c>
      <c r="P24" s="30" t="s">
        <v>187</v>
      </c>
      <c r="Q24" s="30" t="s">
        <v>188</v>
      </c>
      <c r="R24" s="30" t="s">
        <v>189</v>
      </c>
      <c r="S24" s="30" t="s">
        <v>190</v>
      </c>
      <c r="T24" s="15" t="s">
        <v>191</v>
      </c>
      <c r="U24" s="30" t="s">
        <v>158</v>
      </c>
      <c r="V24" s="30" t="s">
        <v>192</v>
      </c>
      <c r="W24" s="30" t="s">
        <v>193</v>
      </c>
      <c r="X24" s="151"/>
    </row>
    <row r="25" spans="2:24" s="1" customFormat="1" ht="16.5" customHeight="1" x14ac:dyDescent="0.3">
      <c r="B25" s="1" t="s">
        <v>271</v>
      </c>
      <c r="C25" s="63" t="s">
        <v>203</v>
      </c>
      <c r="D25" s="39">
        <v>1</v>
      </c>
      <c r="E25" s="47" t="s">
        <v>204</v>
      </c>
      <c r="F25" s="39" t="s">
        <v>23</v>
      </c>
      <c r="G25" s="48" t="s">
        <v>205</v>
      </c>
      <c r="H25" s="61" t="s">
        <v>206</v>
      </c>
      <c r="I25" s="34"/>
      <c r="J25" s="35" t="s">
        <v>199</v>
      </c>
      <c r="K25" s="50"/>
      <c r="L25" s="51"/>
      <c r="M25" s="51" t="s">
        <v>281</v>
      </c>
      <c r="N25" s="21" t="s">
        <v>203</v>
      </c>
      <c r="O25" s="39">
        <v>1</v>
      </c>
      <c r="P25" s="47" t="s">
        <v>207</v>
      </c>
      <c r="Q25" s="39" t="s">
        <v>23</v>
      </c>
      <c r="R25" s="48" t="s">
        <v>208</v>
      </c>
      <c r="S25" s="61" t="s">
        <v>206</v>
      </c>
      <c r="T25" s="34"/>
      <c r="U25" s="35" t="s">
        <v>199</v>
      </c>
      <c r="V25" s="40"/>
      <c r="W25" s="39"/>
      <c r="X25" s="52"/>
    </row>
    <row r="26" spans="2:24" s="1" customFormat="1" ht="16.5" customHeight="1" x14ac:dyDescent="0.3">
      <c r="B26" s="1" t="s">
        <v>271</v>
      </c>
      <c r="C26" s="33"/>
      <c r="D26" s="39">
        <v>2</v>
      </c>
      <c r="E26" s="47" t="s">
        <v>209</v>
      </c>
      <c r="F26" s="39" t="s">
        <v>23</v>
      </c>
      <c r="G26" s="48" t="s">
        <v>210</v>
      </c>
      <c r="H26" s="61" t="s">
        <v>211</v>
      </c>
      <c r="I26" s="34"/>
      <c r="J26" s="35" t="s">
        <v>212</v>
      </c>
      <c r="K26" s="50"/>
      <c r="L26" s="51"/>
      <c r="M26" s="51" t="s">
        <v>282</v>
      </c>
      <c r="N26" s="21"/>
      <c r="O26" s="39">
        <v>2</v>
      </c>
      <c r="P26" s="47" t="s">
        <v>209</v>
      </c>
      <c r="Q26" s="39" t="s">
        <v>23</v>
      </c>
      <c r="R26" s="48" t="s">
        <v>213</v>
      </c>
      <c r="S26" s="61" t="s">
        <v>211</v>
      </c>
      <c r="T26" s="34"/>
      <c r="U26" s="35" t="s">
        <v>212</v>
      </c>
      <c r="V26" s="40"/>
      <c r="W26" s="39"/>
      <c r="X26" s="52"/>
    </row>
    <row r="27" spans="2:24" s="1" customFormat="1" ht="16.5" customHeight="1" x14ac:dyDescent="0.3">
      <c r="B27" s="1" t="s">
        <v>271</v>
      </c>
      <c r="C27" s="33"/>
      <c r="D27" s="39">
        <v>3</v>
      </c>
      <c r="E27" s="47" t="s">
        <v>214</v>
      </c>
      <c r="F27" s="39" t="s">
        <v>211</v>
      </c>
      <c r="G27" s="48" t="s">
        <v>205</v>
      </c>
      <c r="H27" s="61" t="s">
        <v>215</v>
      </c>
      <c r="I27" s="34"/>
      <c r="J27" s="35" t="s">
        <v>216</v>
      </c>
      <c r="K27" s="50"/>
      <c r="L27" s="51"/>
      <c r="M27" s="51" t="s">
        <v>280</v>
      </c>
      <c r="N27" s="21"/>
      <c r="O27" s="39">
        <v>3</v>
      </c>
      <c r="P27" s="47" t="s">
        <v>214</v>
      </c>
      <c r="Q27" s="39" t="s">
        <v>211</v>
      </c>
      <c r="R27" s="48" t="s">
        <v>208</v>
      </c>
      <c r="S27" s="61" t="s">
        <v>215</v>
      </c>
      <c r="T27" s="34"/>
      <c r="U27" s="35" t="s">
        <v>216</v>
      </c>
      <c r="V27" s="40"/>
      <c r="W27" s="39"/>
      <c r="X27" s="52"/>
    </row>
    <row r="28" spans="2:24" s="1" customFormat="1" ht="16.5" customHeight="1" x14ac:dyDescent="0.3">
      <c r="B28" s="1" t="s">
        <v>271</v>
      </c>
      <c r="C28" s="33"/>
      <c r="D28" s="39">
        <v>4</v>
      </c>
      <c r="E28" s="47" t="s">
        <v>217</v>
      </c>
      <c r="F28" s="39" t="s">
        <v>23</v>
      </c>
      <c r="G28" s="48" t="s">
        <v>210</v>
      </c>
      <c r="H28" s="61" t="s">
        <v>211</v>
      </c>
      <c r="I28" s="34"/>
      <c r="J28" s="35" t="s">
        <v>218</v>
      </c>
      <c r="K28" s="50"/>
      <c r="L28" s="51"/>
      <c r="M28" s="51" t="s">
        <v>280</v>
      </c>
      <c r="N28" s="21"/>
      <c r="O28" s="39">
        <v>4</v>
      </c>
      <c r="P28" s="47" t="s">
        <v>219</v>
      </c>
      <c r="Q28" s="39" t="s">
        <v>23</v>
      </c>
      <c r="R28" s="48" t="s">
        <v>213</v>
      </c>
      <c r="S28" s="61" t="s">
        <v>211</v>
      </c>
      <c r="T28" s="34"/>
      <c r="U28" s="35" t="s">
        <v>218</v>
      </c>
      <c r="V28" s="40"/>
      <c r="W28" s="39"/>
      <c r="X28" s="52"/>
    </row>
    <row r="29" spans="2:24" s="1" customFormat="1" ht="16.5" customHeight="1" x14ac:dyDescent="0.3">
      <c r="B29" s="1" t="s">
        <v>271</v>
      </c>
      <c r="C29" s="33"/>
      <c r="D29" s="39">
        <v>5</v>
      </c>
      <c r="E29" s="47" t="s">
        <v>220</v>
      </c>
      <c r="F29" s="39" t="s">
        <v>211</v>
      </c>
      <c r="G29" s="48" t="s">
        <v>205</v>
      </c>
      <c r="H29" s="61" t="s">
        <v>221</v>
      </c>
      <c r="I29" s="34"/>
      <c r="J29" s="35" t="s">
        <v>222</v>
      </c>
      <c r="K29" s="50"/>
      <c r="L29" s="51"/>
      <c r="M29" s="51" t="s">
        <v>280</v>
      </c>
      <c r="N29" s="21"/>
      <c r="O29" s="39">
        <v>5</v>
      </c>
      <c r="P29" s="47" t="s">
        <v>223</v>
      </c>
      <c r="Q29" s="39" t="s">
        <v>211</v>
      </c>
      <c r="R29" s="48" t="s">
        <v>208</v>
      </c>
      <c r="S29" s="61" t="s">
        <v>221</v>
      </c>
      <c r="T29" s="34"/>
      <c r="U29" s="35" t="s">
        <v>222</v>
      </c>
      <c r="V29" s="40"/>
      <c r="W29" s="39"/>
      <c r="X29" s="52"/>
    </row>
    <row r="30" spans="2:24" s="1" customFormat="1" ht="16.5" customHeight="1" x14ac:dyDescent="0.3">
      <c r="B30" s="1" t="s">
        <v>271</v>
      </c>
      <c r="C30" s="33"/>
      <c r="D30" s="39">
        <v>6</v>
      </c>
      <c r="E30" s="47" t="s">
        <v>224</v>
      </c>
      <c r="F30" s="39" t="s">
        <v>211</v>
      </c>
      <c r="G30" s="48" t="s">
        <v>210</v>
      </c>
      <c r="H30" s="61" t="s">
        <v>211</v>
      </c>
      <c r="I30" s="34"/>
      <c r="J30" s="35" t="s">
        <v>225</v>
      </c>
      <c r="K30" s="50"/>
      <c r="L30" s="51"/>
      <c r="M30" s="51" t="s">
        <v>280</v>
      </c>
      <c r="N30" s="21"/>
      <c r="O30" s="39">
        <v>6</v>
      </c>
      <c r="P30" s="47" t="s">
        <v>224</v>
      </c>
      <c r="Q30" s="39" t="s">
        <v>211</v>
      </c>
      <c r="R30" s="48" t="s">
        <v>213</v>
      </c>
      <c r="S30" s="61" t="s">
        <v>211</v>
      </c>
      <c r="T30" s="34"/>
      <c r="U30" s="35" t="s">
        <v>225</v>
      </c>
      <c r="V30" s="40"/>
      <c r="W30" s="39"/>
      <c r="X30" s="52"/>
    </row>
    <row r="31" spans="2:24" s="1" customFormat="1" ht="16.5" customHeight="1" x14ac:dyDescent="0.3">
      <c r="B31" s="1" t="s">
        <v>271</v>
      </c>
      <c r="C31" s="33"/>
      <c r="D31" s="39">
        <v>7</v>
      </c>
      <c r="E31" s="47" t="s">
        <v>226</v>
      </c>
      <c r="F31" s="39" t="s">
        <v>211</v>
      </c>
      <c r="G31" s="48" t="s">
        <v>210</v>
      </c>
      <c r="H31" s="61" t="s">
        <v>211</v>
      </c>
      <c r="I31" s="34"/>
      <c r="J31" s="35" t="s">
        <v>227</v>
      </c>
      <c r="K31" s="50"/>
      <c r="L31" s="51"/>
      <c r="M31" s="51" t="s">
        <v>280</v>
      </c>
      <c r="N31" s="21"/>
      <c r="O31" s="39">
        <v>7</v>
      </c>
      <c r="P31" s="47" t="s">
        <v>226</v>
      </c>
      <c r="Q31" s="39" t="s">
        <v>211</v>
      </c>
      <c r="R31" s="48" t="s">
        <v>213</v>
      </c>
      <c r="S31" s="61" t="s">
        <v>211</v>
      </c>
      <c r="T31" s="34"/>
      <c r="U31" s="35" t="s">
        <v>227</v>
      </c>
      <c r="V31" s="40"/>
      <c r="W31" s="39"/>
      <c r="X31" s="52" t="s">
        <v>228</v>
      </c>
    </row>
    <row r="32" spans="2:24" s="1" customFormat="1" ht="16.5" customHeight="1" x14ac:dyDescent="0.3">
      <c r="B32" s="1" t="s">
        <v>271</v>
      </c>
      <c r="C32" s="33"/>
      <c r="D32" s="39">
        <v>8</v>
      </c>
      <c r="E32" s="47" t="s">
        <v>229</v>
      </c>
      <c r="F32" s="39" t="s">
        <v>211</v>
      </c>
      <c r="G32" s="48" t="s">
        <v>210</v>
      </c>
      <c r="H32" s="61" t="s">
        <v>211</v>
      </c>
      <c r="I32" s="34"/>
      <c r="J32" s="35" t="s">
        <v>230</v>
      </c>
      <c r="K32" s="50"/>
      <c r="L32" s="51"/>
      <c r="M32" s="51" t="s">
        <v>280</v>
      </c>
      <c r="N32" s="21"/>
      <c r="O32" s="39">
        <v>8</v>
      </c>
      <c r="P32" s="47" t="s">
        <v>229</v>
      </c>
      <c r="Q32" s="39" t="s">
        <v>211</v>
      </c>
      <c r="R32" s="48" t="s">
        <v>213</v>
      </c>
      <c r="S32" s="61" t="s">
        <v>211</v>
      </c>
      <c r="T32" s="34"/>
      <c r="U32" s="35" t="s">
        <v>230</v>
      </c>
      <c r="V32" s="40"/>
      <c r="W32" s="39"/>
      <c r="X32" s="52" t="s">
        <v>231</v>
      </c>
    </row>
    <row r="33" spans="2:24" s="1" customFormat="1" ht="16.5" customHeight="1" x14ac:dyDescent="0.3">
      <c r="B33" s="1" t="s">
        <v>271</v>
      </c>
      <c r="C33" s="33"/>
      <c r="D33" s="39">
        <v>9</v>
      </c>
      <c r="E33" s="47" t="s">
        <v>232</v>
      </c>
      <c r="F33" s="39" t="s">
        <v>211</v>
      </c>
      <c r="G33" s="48" t="s">
        <v>210</v>
      </c>
      <c r="H33" s="61" t="s">
        <v>211</v>
      </c>
      <c r="I33" s="34"/>
      <c r="J33" s="53">
        <v>0</v>
      </c>
      <c r="K33" s="50"/>
      <c r="L33" s="51"/>
      <c r="M33" s="51" t="s">
        <v>280</v>
      </c>
      <c r="N33" s="21"/>
      <c r="O33" s="39">
        <v>9</v>
      </c>
      <c r="P33" s="47" t="s">
        <v>232</v>
      </c>
      <c r="Q33" s="39" t="s">
        <v>211</v>
      </c>
      <c r="R33" s="48" t="s">
        <v>213</v>
      </c>
      <c r="S33" s="61" t="s">
        <v>211</v>
      </c>
      <c r="T33" s="34"/>
      <c r="U33" s="53">
        <v>0</v>
      </c>
      <c r="V33" s="40"/>
      <c r="W33" s="39"/>
      <c r="X33" s="52" t="s">
        <v>233</v>
      </c>
    </row>
    <row r="34" spans="2:24" s="1" customFormat="1" ht="16.5" customHeight="1" x14ac:dyDescent="0.3">
      <c r="B34" s="1" t="s">
        <v>271</v>
      </c>
      <c r="C34" s="33"/>
      <c r="D34" s="39">
        <v>10</v>
      </c>
      <c r="E34" s="47" t="s">
        <v>234</v>
      </c>
      <c r="F34" s="39" t="s">
        <v>211</v>
      </c>
      <c r="G34" s="48" t="s">
        <v>205</v>
      </c>
      <c r="H34" s="61" t="s">
        <v>235</v>
      </c>
      <c r="I34" s="34"/>
      <c r="J34" s="35" t="s">
        <v>236</v>
      </c>
      <c r="K34" s="50"/>
      <c r="L34" s="51"/>
      <c r="M34" s="51" t="s">
        <v>280</v>
      </c>
      <c r="N34" s="23"/>
      <c r="O34" s="39">
        <v>10</v>
      </c>
      <c r="P34" s="47" t="s">
        <v>237</v>
      </c>
      <c r="Q34" s="39" t="s">
        <v>211</v>
      </c>
      <c r="R34" s="48" t="s">
        <v>208</v>
      </c>
      <c r="S34" s="61" t="s">
        <v>235</v>
      </c>
      <c r="T34" s="34"/>
      <c r="U34" s="35" t="s">
        <v>236</v>
      </c>
      <c r="V34" s="40"/>
      <c r="W34" s="39"/>
      <c r="X34" s="52"/>
    </row>
    <row r="35" spans="2:24" s="1" customFormat="1" ht="16.5" customHeight="1" x14ac:dyDescent="0.3">
      <c r="B35" s="1" t="s">
        <v>271</v>
      </c>
      <c r="C35" s="54"/>
      <c r="D35" s="39">
        <v>11</v>
      </c>
      <c r="E35" t="s">
        <v>238</v>
      </c>
      <c r="F35" s="22"/>
      <c r="G35" s="49" t="s">
        <v>205</v>
      </c>
      <c r="H35" s="24">
        <v>1</v>
      </c>
      <c r="I35" s="55"/>
      <c r="J35" s="56" t="s">
        <v>239</v>
      </c>
      <c r="K35" s="35"/>
      <c r="L35" s="51"/>
      <c r="M35" s="51"/>
      <c r="N35" s="21"/>
      <c r="O35" s="39"/>
      <c r="P35" s="47"/>
      <c r="Q35" s="22"/>
      <c r="R35" s="49"/>
      <c r="S35" s="24"/>
      <c r="T35" s="55"/>
      <c r="U35" s="56"/>
      <c r="V35" s="40"/>
      <c r="W35" s="39"/>
      <c r="X35" s="52"/>
    </row>
    <row r="36" spans="2:24" s="1" customFormat="1" ht="16.5" customHeight="1" x14ac:dyDescent="0.3">
      <c r="B36" s="1" t="s">
        <v>271</v>
      </c>
      <c r="C36" s="54"/>
      <c r="D36" s="39">
        <v>12</v>
      </c>
      <c r="E36" s="52" t="s">
        <v>240</v>
      </c>
      <c r="F36" s="52"/>
      <c r="G36" s="49" t="s">
        <v>205</v>
      </c>
      <c r="H36" s="57">
        <v>36</v>
      </c>
      <c r="I36" s="55"/>
      <c r="J36" s="56" t="s">
        <v>241</v>
      </c>
      <c r="K36" s="35"/>
      <c r="L36" s="51"/>
      <c r="M36" s="51"/>
      <c r="N36" s="21"/>
      <c r="O36" s="39"/>
      <c r="P36" s="52"/>
      <c r="Q36" s="52"/>
      <c r="R36" s="49"/>
      <c r="S36" s="57"/>
      <c r="T36" s="55"/>
      <c r="U36" s="56"/>
      <c r="V36" s="40"/>
      <c r="W36" s="39"/>
      <c r="X36" s="52"/>
    </row>
    <row r="37" spans="2:24" s="1" customFormat="1" ht="16.5" customHeight="1" x14ac:dyDescent="0.3">
      <c r="B37" s="1" t="s">
        <v>271</v>
      </c>
      <c r="C37" s="54"/>
      <c r="D37" s="39">
        <v>13</v>
      </c>
      <c r="E37" s="52" t="s">
        <v>242</v>
      </c>
      <c r="F37" s="52"/>
      <c r="G37" s="49" t="s">
        <v>243</v>
      </c>
      <c r="H37" s="57"/>
      <c r="I37" s="52"/>
      <c r="J37" s="56" t="s">
        <v>244</v>
      </c>
      <c r="K37" s="35"/>
      <c r="L37" s="51"/>
      <c r="M37" s="51"/>
      <c r="N37" s="21"/>
      <c r="O37" s="39"/>
      <c r="P37" s="52"/>
      <c r="Q37" s="52"/>
      <c r="R37" s="49"/>
      <c r="S37" s="57"/>
      <c r="T37" s="52"/>
      <c r="U37" s="56"/>
      <c r="V37" s="40"/>
      <c r="W37" s="39"/>
      <c r="X37" s="52"/>
    </row>
    <row r="38" spans="2:24" s="1" customFormat="1" ht="16.5" customHeight="1" x14ac:dyDescent="0.3">
      <c r="C38" s="54"/>
      <c r="D38" s="39"/>
      <c r="E38" s="47"/>
      <c r="F38" s="39"/>
      <c r="G38" s="49"/>
      <c r="H38" s="64"/>
      <c r="I38" s="59"/>
      <c r="J38" s="35"/>
      <c r="K38" s="35"/>
      <c r="L38" s="51"/>
      <c r="M38" s="51"/>
      <c r="N38" s="21"/>
      <c r="O38" s="39"/>
      <c r="P38" s="47"/>
      <c r="Q38" s="39"/>
      <c r="R38" s="49"/>
      <c r="S38" s="58"/>
      <c r="T38" s="59"/>
      <c r="U38" s="35"/>
      <c r="V38" s="40"/>
      <c r="W38" s="39"/>
      <c r="X38" s="52"/>
    </row>
    <row r="39" spans="2:24" s="1" customFormat="1" ht="16.5" customHeight="1" x14ac:dyDescent="0.3">
      <c r="B39" s="1" t="s">
        <v>272</v>
      </c>
      <c r="C39" s="60" t="s">
        <v>245</v>
      </c>
      <c r="D39" s="39">
        <v>1</v>
      </c>
      <c r="E39" s="47" t="s">
        <v>246</v>
      </c>
      <c r="F39" s="39"/>
      <c r="G39" s="49" t="s">
        <v>205</v>
      </c>
      <c r="H39" s="61">
        <v>50</v>
      </c>
      <c r="I39" s="59"/>
      <c r="J39" s="35" t="s">
        <v>247</v>
      </c>
      <c r="K39" s="35"/>
      <c r="L39" s="51"/>
      <c r="M39" s="51"/>
      <c r="N39" s="21"/>
      <c r="O39" s="39"/>
      <c r="P39" s="47"/>
      <c r="Q39" s="39"/>
      <c r="R39" s="49"/>
      <c r="S39" s="58"/>
      <c r="T39" s="59"/>
      <c r="U39" s="35"/>
      <c r="V39" s="40"/>
      <c r="W39" s="39"/>
      <c r="X39" s="52"/>
    </row>
    <row r="40" spans="2:24" s="1" customFormat="1" ht="16.5" customHeight="1" x14ac:dyDescent="0.3">
      <c r="B40" s="1" t="s">
        <v>273</v>
      </c>
      <c r="C40" s="54"/>
      <c r="D40" s="39">
        <v>2</v>
      </c>
      <c r="E40" s="47" t="s">
        <v>248</v>
      </c>
      <c r="F40" s="39"/>
      <c r="G40" s="49" t="s">
        <v>205</v>
      </c>
      <c r="H40" s="61">
        <v>250</v>
      </c>
      <c r="I40" s="59"/>
      <c r="J40" s="35" t="s">
        <v>249</v>
      </c>
      <c r="K40" s="35"/>
      <c r="L40" s="51"/>
      <c r="M40" s="51"/>
      <c r="N40" s="21"/>
      <c r="O40" s="39"/>
      <c r="P40" s="47"/>
      <c r="Q40" s="39"/>
      <c r="R40" s="49"/>
      <c r="S40" s="58"/>
      <c r="T40" s="59"/>
      <c r="U40" s="35"/>
      <c r="V40" s="40"/>
      <c r="W40" s="39"/>
      <c r="X40" s="52"/>
    </row>
    <row r="41" spans="2:24" s="1" customFormat="1" ht="16.5" customHeight="1" x14ac:dyDescent="0.3">
      <c r="B41" s="1" t="s">
        <v>273</v>
      </c>
      <c r="C41" s="54"/>
      <c r="D41" s="39">
        <v>3</v>
      </c>
      <c r="E41" s="47" t="s">
        <v>250</v>
      </c>
      <c r="F41" s="39"/>
      <c r="G41" s="49" t="s">
        <v>205</v>
      </c>
      <c r="H41" s="61">
        <v>250</v>
      </c>
      <c r="I41" s="59"/>
      <c r="J41" s="35" t="s">
        <v>251</v>
      </c>
      <c r="K41" s="35"/>
      <c r="L41" s="51"/>
      <c r="M41" s="51"/>
      <c r="N41" s="21"/>
      <c r="O41" s="39"/>
      <c r="P41" s="47"/>
      <c r="Q41" s="39"/>
      <c r="R41" s="49"/>
      <c r="S41" s="58"/>
      <c r="T41" s="59"/>
      <c r="U41" s="35"/>
      <c r="V41" s="40"/>
      <c r="W41" s="39"/>
      <c r="X41" s="52"/>
    </row>
    <row r="42" spans="2:24" s="1" customFormat="1" ht="16.5" customHeight="1" x14ac:dyDescent="0.3">
      <c r="B42" s="1" t="s">
        <v>273</v>
      </c>
      <c r="C42" s="54"/>
      <c r="D42" s="39">
        <v>4</v>
      </c>
      <c r="E42" s="47" t="s">
        <v>252</v>
      </c>
      <c r="F42" s="39"/>
      <c r="G42" s="49" t="s">
        <v>205</v>
      </c>
      <c r="H42" s="61">
        <v>250</v>
      </c>
      <c r="I42" s="59"/>
      <c r="J42" s="35" t="s">
        <v>253</v>
      </c>
      <c r="K42" s="35"/>
      <c r="L42" s="51"/>
      <c r="M42" s="51"/>
      <c r="N42" s="21"/>
      <c r="O42" s="39"/>
      <c r="P42" s="47"/>
      <c r="Q42" s="39"/>
      <c r="R42" s="49"/>
      <c r="S42" s="58"/>
      <c r="T42" s="59"/>
      <c r="U42" s="35"/>
      <c r="V42" s="40"/>
      <c r="W42" s="39"/>
      <c r="X42" s="52"/>
    </row>
    <row r="43" spans="2:24" s="1" customFormat="1" ht="16.5" customHeight="1" x14ac:dyDescent="0.3">
      <c r="B43" s="1" t="s">
        <v>273</v>
      </c>
      <c r="C43" s="54"/>
      <c r="D43" s="39">
        <v>5</v>
      </c>
      <c r="E43" s="47" t="s">
        <v>254</v>
      </c>
      <c r="F43" s="39"/>
      <c r="G43" s="49" t="s">
        <v>205</v>
      </c>
      <c r="H43" s="61">
        <v>250</v>
      </c>
      <c r="I43" s="59"/>
      <c r="J43" s="35" t="s">
        <v>255</v>
      </c>
      <c r="K43" s="35"/>
      <c r="L43" s="51"/>
      <c r="M43" s="51"/>
      <c r="N43" s="21"/>
      <c r="O43" s="39"/>
      <c r="P43" s="47"/>
      <c r="Q43" s="39"/>
      <c r="R43" s="49"/>
      <c r="S43" s="58"/>
      <c r="T43" s="59"/>
      <c r="U43" s="35"/>
      <c r="V43" s="40"/>
      <c r="W43" s="39"/>
      <c r="X43" s="52"/>
    </row>
    <row r="44" spans="2:24" s="1" customFormat="1" ht="16.5" customHeight="1" x14ac:dyDescent="0.3">
      <c r="B44" s="1" t="s">
        <v>273</v>
      </c>
      <c r="C44" s="54"/>
      <c r="D44" s="39">
        <v>6</v>
      </c>
      <c r="E44" s="47" t="s">
        <v>256</v>
      </c>
      <c r="F44" s="39"/>
      <c r="G44" s="49" t="s">
        <v>205</v>
      </c>
      <c r="H44" s="61" t="s">
        <v>257</v>
      </c>
      <c r="I44" s="59"/>
      <c r="J44" s="35" t="s">
        <v>258</v>
      </c>
      <c r="K44" s="35"/>
      <c r="L44" s="51"/>
      <c r="M44" s="51"/>
      <c r="N44" s="21"/>
      <c r="O44" s="39"/>
      <c r="P44" s="47"/>
      <c r="Q44" s="39"/>
      <c r="R44" s="49"/>
      <c r="S44" s="58"/>
      <c r="T44" s="59"/>
      <c r="U44" s="35"/>
      <c r="V44" s="40"/>
      <c r="W44" s="39"/>
      <c r="X44" s="52"/>
    </row>
    <row r="45" spans="2:24" s="1" customFormat="1" ht="16.5" customHeight="1" x14ac:dyDescent="0.3">
      <c r="B45" s="1" t="s">
        <v>273</v>
      </c>
      <c r="C45" s="54"/>
      <c r="D45" s="39">
        <v>7</v>
      </c>
      <c r="E45" s="47" t="s">
        <v>259</v>
      </c>
      <c r="F45" s="39"/>
      <c r="G45" s="49" t="s">
        <v>205</v>
      </c>
      <c r="H45" s="64">
        <v>100</v>
      </c>
      <c r="I45" s="59"/>
      <c r="J45" s="31" t="s">
        <v>260</v>
      </c>
      <c r="K45" s="35"/>
      <c r="L45" s="51"/>
      <c r="M45" s="51"/>
      <c r="N45" s="21"/>
      <c r="O45" s="39"/>
      <c r="P45" s="47"/>
      <c r="Q45" s="39"/>
      <c r="R45" s="49"/>
      <c r="S45" s="58"/>
      <c r="T45" s="59"/>
      <c r="U45" s="35"/>
      <c r="V45" s="40"/>
      <c r="W45" s="39"/>
      <c r="X45" s="52"/>
    </row>
    <row r="46" spans="2:24" s="1" customFormat="1" ht="16.5" customHeight="1" x14ac:dyDescent="0.3">
      <c r="B46" s="1" t="s">
        <v>273</v>
      </c>
      <c r="C46" s="54"/>
      <c r="D46" s="39">
        <v>8</v>
      </c>
      <c r="E46" s="47" t="s">
        <v>261</v>
      </c>
      <c r="F46" s="39"/>
      <c r="G46" s="49" t="s">
        <v>205</v>
      </c>
      <c r="H46" s="61" t="s">
        <v>257</v>
      </c>
      <c r="I46" s="59"/>
      <c r="J46" s="31" t="s">
        <v>262</v>
      </c>
      <c r="K46" s="35"/>
      <c r="L46" s="51"/>
      <c r="M46" s="51"/>
      <c r="N46" s="21"/>
      <c r="O46" s="39"/>
      <c r="P46" s="47"/>
      <c r="Q46" s="39"/>
      <c r="R46" s="49"/>
      <c r="S46" s="35"/>
      <c r="T46" s="34"/>
      <c r="U46" s="62"/>
      <c r="V46" s="40"/>
      <c r="W46" s="39"/>
      <c r="X46" s="52"/>
    </row>
    <row r="47" spans="2:24" s="1" customFormat="1" ht="16.5" customHeight="1" x14ac:dyDescent="0.3">
      <c r="B47" s="1" t="s">
        <v>273</v>
      </c>
      <c r="C47" s="54"/>
      <c r="D47" s="39">
        <v>9</v>
      </c>
      <c r="E47" s="47" t="s">
        <v>263</v>
      </c>
      <c r="F47" s="39"/>
      <c r="G47" s="49" t="s">
        <v>205</v>
      </c>
      <c r="H47" s="64">
        <v>250</v>
      </c>
      <c r="I47" s="59"/>
      <c r="J47" s="31" t="s">
        <v>264</v>
      </c>
      <c r="K47" s="35"/>
      <c r="L47" s="51"/>
      <c r="M47" s="51"/>
      <c r="N47" s="21"/>
      <c r="O47" s="39"/>
      <c r="P47" s="35"/>
      <c r="Q47" s="39"/>
      <c r="R47" s="40"/>
      <c r="S47" s="40"/>
      <c r="T47" s="34"/>
      <c r="U47" s="35"/>
      <c r="V47" s="40"/>
      <c r="W47" s="39"/>
      <c r="X47" s="52"/>
    </row>
    <row r="48" spans="2:24" s="1" customFormat="1" x14ac:dyDescent="0.3">
      <c r="D48" s="4"/>
      <c r="G48" s="2"/>
      <c r="J48" s="5"/>
      <c r="L48" s="6"/>
      <c r="M48" s="6"/>
      <c r="O48" s="4"/>
      <c r="R48" s="2"/>
      <c r="U48" s="5"/>
      <c r="W48" s="6"/>
    </row>
    <row r="49" spans="3:24" ht="314.25" customHeight="1" x14ac:dyDescent="0.3">
      <c r="C49" s="88" t="s">
        <v>265</v>
      </c>
      <c r="D49" s="144" t="s">
        <v>266</v>
      </c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6"/>
    </row>
    <row r="50" spans="3:24" ht="314.25" customHeight="1" x14ac:dyDescent="0.3">
      <c r="C50" s="89"/>
      <c r="D50" s="147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9"/>
    </row>
    <row r="52" spans="3:24" ht="90.75" customHeight="1" x14ac:dyDescent="0.3">
      <c r="C52" s="88" t="s">
        <v>279</v>
      </c>
      <c r="D52" s="90" t="s">
        <v>269</v>
      </c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2"/>
    </row>
    <row r="53" spans="3:24" x14ac:dyDescent="0.3">
      <c r="C53" s="89"/>
      <c r="D53" s="93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5"/>
    </row>
  </sheetData>
  <mergeCells count="50">
    <mergeCell ref="C14:F14"/>
    <mergeCell ref="R13:W13"/>
    <mergeCell ref="C49:C50"/>
    <mergeCell ref="D49:X50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C11:F11"/>
    <mergeCell ref="G13:L13"/>
    <mergeCell ref="G11:L11"/>
    <mergeCell ref="N11:Q11"/>
    <mergeCell ref="R11:W11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52:C53"/>
    <mergeCell ref="D52:X5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</mergeCells>
  <phoneticPr fontId="2" type="noConversion"/>
  <dataValidations count="2">
    <dataValidation type="list" allowBlank="1" showInputMessage="1" showErrorMessage="1" sqref="I35:I36 T35:T36">
      <formula1>$O$3:$O$4</formula1>
    </dataValidation>
    <dataValidation type="list" allowBlank="1" showInputMessage="1" showErrorMessage="1" sqref="G11:M11">
      <formula1>$C$3:$C$46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I38 I20:I21 T38:T47 T20:T21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I39:I47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I25:I34 T25:T34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www.w3.org/XML/1998/namespace"/>
    <ds:schemaRef ds:uri="efe72180-9972-4f46-9c03-3d142a8e36e2"/>
    <ds:schemaRef ds:uri="546aa48d-480f-4c7b-808b-798d1e0b2ccb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2022-11-07T05:21:14Z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