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hqfs1\5.Project\01.개발목록\04. 최종검토 완료\02.박현아\"/>
    </mc:Choice>
  </mc:AlternateContent>
  <bookViews>
    <workbookView xWindow="0" yWindow="0" windowWidth="38400" windowHeight="12285" tabRatio="836"/>
  </bookViews>
  <sheets>
    <sheet name="변경이력관리" sheetId="2" r:id="rId1"/>
    <sheet name="Code" sheetId="8" state="hidden" r:id="rId2"/>
    <sheet name="IF_SRD_DPS_RMS_0012" sheetId="5" r:id="rId3"/>
  </sheets>
  <externalReferences>
    <externalReference r:id="rId4"/>
    <externalReference r:id="rId5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>
  <authors>
    <author>LSH CSPI</author>
    <author>이성현 ((주)CSPI)</author>
  </authors>
  <commentList>
    <comment ref="C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1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1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C47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N개의 실행 쿼리 순서대로 작성
소스 A Table 조회 -&gt; 타겟 A’ Table 입력
소스 B Table 조회 -&gt; 타겟 B’ Table 입력
                            타겟 C’ 프로시저 실행
복잡한 조건절 작성
단순 Query 작성 불필요</t>
        </r>
      </text>
    </comment>
    <comment ref="C48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N개의 실행 쿼리 순서대로 작성
소스 A Table 조회 -&gt; 타겟 A’ Table 입력
소스 B Table 조회 -&gt; 타겟 B’ Table 입력
                            타겟 C’ 프로시저 실행
복잡한 조건절 작성
단순 Query 작성 불필요</t>
        </r>
      </text>
    </comment>
  </commentList>
</comments>
</file>

<file path=xl/sharedStrings.xml><?xml version="1.0" encoding="utf-8"?>
<sst xmlns="http://schemas.openxmlformats.org/spreadsheetml/2006/main" count="452" uniqueCount="265">
  <si>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</si>
  <si>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</si>
  <si>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</si>
  <si>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</si>
  <si>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</si>
  <si>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</si>
  <si>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</si>
  <si>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</si>
  <si>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2021.12.13</t>
    <phoneticPr fontId="4" type="noConversion"/>
  </si>
  <si>
    <t>남기섭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</si>
  <si>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</si>
  <si>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</si>
  <si>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</si>
  <si>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</si>
  <si>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</si>
  <si>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</si>
  <si>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</si>
  <si>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</si>
  <si>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</si>
  <si>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</si>
  <si>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</si>
  <si>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</si>
  <si>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</si>
  <si>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</si>
  <si>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</si>
  <si>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</si>
  <si>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</si>
  <si>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</si>
  <si>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</si>
  <si>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</si>
  <si>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</si>
  <si>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</si>
  <si>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</si>
  <si>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</si>
  <si>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</si>
  <si>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</si>
  <si>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</si>
  <si>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</si>
  <si>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</si>
  <si>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</si>
  <si>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</si>
  <si>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</si>
  <si>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</si>
  <si>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</si>
  <si>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</si>
  <si>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</si>
  <si>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</si>
  <si>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</si>
  <si>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</si>
  <si>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</si>
  <si>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</si>
  <si>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</si>
  <si>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</si>
  <si>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</si>
  <si>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</si>
  <si>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</si>
  <si>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</si>
  <si>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</si>
  <si>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</si>
  <si>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</si>
  <si>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</si>
  <si>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</si>
  <si>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</si>
  <si>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</si>
  <si>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</si>
  <si>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</si>
  <si>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</si>
  <si>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</si>
  <si>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</si>
  <si>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</si>
  <si>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</si>
  <si>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</si>
  <si>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</si>
  <si>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</si>
  <si>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</si>
  <si>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</si>
  <si>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</si>
  <si>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</si>
  <si>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</si>
  <si>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</si>
  <si>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</si>
  <si>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</si>
  <si>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</si>
  <si>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</si>
  <si>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</si>
  <si>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</si>
  <si>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</si>
  <si>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</si>
  <si>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</si>
  <si>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</si>
  <si>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</si>
  <si>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</si>
  <si>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</si>
  <si>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</si>
  <si>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</si>
  <si>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</si>
  <si>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</si>
  <si>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</si>
  <si>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</si>
  <si>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</si>
  <si>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</si>
  <si>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</si>
  <si>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</si>
  <si>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</si>
  <si>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</si>
  <si>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</si>
  <si>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</si>
  <si>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</si>
  <si>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</si>
  <si>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</si>
  <si>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</si>
  <si>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</si>
  <si>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</si>
  <si>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</si>
  <si>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</si>
  <si>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</si>
  <si>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</si>
  <si>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</si>
  <si>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</si>
  <si>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</si>
  <si>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</si>
  <si>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</si>
  <si>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</si>
  <si>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</si>
  <si>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</si>
  <si>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</si>
  <si>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</si>
  <si>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</si>
  <si>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</si>
  <si>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</si>
  <si>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</si>
  <si>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</si>
  <si>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</si>
  <si>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</si>
  <si>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</si>
  <si>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</si>
  <si>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</si>
  <si>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</si>
  <si>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</si>
  <si>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</si>
  <si>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</si>
  <si>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</si>
  <si>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</si>
  <si>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</si>
  <si>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</si>
  <si>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</si>
  <si>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</si>
  <si>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</si>
  <si>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</si>
  <si>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</si>
  <si>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</si>
  <si>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</si>
  <si>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RMS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</si>
  <si>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</si>
  <si>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</si>
  <si>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</si>
  <si>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</si>
  <si>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</si>
  <si>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RMS Parts 프로젝트 매핑</t>
    <phoneticPr fontId="2" type="noConversion"/>
  </si>
  <si>
    <t>Description</t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</si>
  <si>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</si>
  <si>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</si>
  <si>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</si>
  <si>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</si>
  <si>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</si>
  <si>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</si>
  <si>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</si>
  <si>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</si>
  <si>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</si>
  <si>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</si>
  <si>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</si>
  <si>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</si>
  <si>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1. Temp Table 을 Truncate 한다. (EAI에서는 빈 table에 최신 데이터를 전체 적재만 함)
2. EAI Rest API 호출
3. Temp에서 본 테이블로 적재. (해당 건은 전체 삭제 후 재적재)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</si>
  <si>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</si>
  <si>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</si>
  <si>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</si>
  <si>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</si>
  <si>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</si>
  <si>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</si>
  <si>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</si>
  <si>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</si>
  <si>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WCADMIN</t>
    <phoneticPr fontId="2" type="noConversion"/>
  </si>
  <si>
    <t>Object</t>
    <phoneticPr fontId="2" type="noConversion"/>
  </si>
  <si>
    <t>LSISPARTPROJECTLINK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</si>
  <si>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</si>
  <si>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</si>
  <si>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</si>
  <si>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</si>
  <si>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</si>
  <si>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</si>
  <si>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</si>
  <si>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</si>
  <si>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</si>
  <si>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</si>
  <si>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</si>
  <si>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Field</t>
    <phoneticPr fontId="2" type="noConversion"/>
  </si>
  <si>
    <t>ORGCODE</t>
  </si>
  <si>
    <t>Y</t>
  </si>
  <si>
    <t>NVARCHAR</t>
    <phoneticPr fontId="2" type="noConversion"/>
  </si>
  <si>
    <t>사업장 코드</t>
    <phoneticPr fontId="2" type="noConversion"/>
  </si>
  <si>
    <t>ITEMCODE</t>
  </si>
  <si>
    <t/>
  </si>
  <si>
    <t>품목 코드</t>
    <phoneticPr fontId="2" type="noConversion"/>
  </si>
  <si>
    <t>PROJECTCODE</t>
  </si>
  <si>
    <t>프로젝트 번호</t>
    <phoneticPr fontId="2" type="noConversion"/>
  </si>
  <si>
    <t>ISREP</t>
  </si>
  <si>
    <t>IS REP?</t>
    <phoneticPr fontId="2" type="noConversion"/>
  </si>
  <si>
    <t>ATTRIBUTE1</t>
  </si>
  <si>
    <t>속성값1</t>
    <phoneticPr fontId="2" type="noConversion"/>
  </si>
  <si>
    <t>ATTRIBUTE2</t>
  </si>
  <si>
    <t>속성값2</t>
    <phoneticPr fontId="2" type="noConversion"/>
  </si>
  <si>
    <t>ATTRIBUTE3</t>
  </si>
  <si>
    <t>속성값3</t>
  </si>
  <si>
    <t>ATTRIBUTE4</t>
  </si>
  <si>
    <t>속성값4</t>
  </si>
  <si>
    <t>ATTRIBUTE5</t>
  </si>
  <si>
    <t>속성값5</t>
  </si>
  <si>
    <t>CREATESTAMPA2</t>
  </si>
  <si>
    <t>DATETIME</t>
    <phoneticPr fontId="2" type="noConversion"/>
  </si>
  <si>
    <t>생성일</t>
    <phoneticPr fontId="2" type="noConversion"/>
  </si>
  <si>
    <t>UPDATESTAMPA2</t>
  </si>
  <si>
    <t>수정일</t>
    <phoneticPr fontId="2" type="noConversion"/>
  </si>
  <si>
    <t>IF_RESULT</t>
  </si>
  <si>
    <t>NVARCHAR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</si>
  <si>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</si>
  <si>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</si>
  <si>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</si>
  <si>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</si>
  <si>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DATETIME</t>
  </si>
  <si>
    <t>전송 처리 일시 - 업무 DB 시간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</si>
  <si>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</si>
  <si>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</si>
  <si>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</si>
  <si>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</si>
  <si>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</si>
  <si>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</si>
  <si>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</si>
  <si>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</si>
  <si>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</si>
  <si>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</si>
  <si>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</si>
  <si>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</si>
  <si>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</si>
  <si>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</si>
  <si>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</si>
  <si>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</si>
  <si>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</si>
  <si>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</si>
  <si>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</si>
  <si>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</si>
  <si>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SQL Query
(ERP)</t>
    <phoneticPr fontId="2" type="noConversion"/>
  </si>
  <si>
    <t>IF_SRD_DPS_RMS_0012</t>
    <phoneticPr fontId="2" type="noConversion"/>
  </si>
  <si>
    <t>LSISPARTPROJECTLINK</t>
    <phoneticPr fontId="2" type="noConversion"/>
  </si>
  <si>
    <t>REST</t>
    <phoneticPr fontId="2" type="noConversion"/>
  </si>
  <si>
    <t>SELECT ORGCODE,ITEMCODE,PROJECTCODE,ISREP,ATTRIBUTE1,ATTRIBUTE2,ATTRIBUTE3,ATTRIBUTE4,ATTRIBUTE5,CREATESTAMPA2,UPDATESTAMPA2
FROM WCADMIN.LSISPARTPROJECTLINK</t>
    <phoneticPr fontId="2" type="noConversion"/>
  </si>
  <si>
    <t>SQL Query
(EAI 사용)</t>
    <phoneticPr fontId="2" type="noConversion"/>
  </si>
  <si>
    <t>SELECT
 ORGCODE, 
 ITEMCODE, 
 PROJECTCODE, 
 ISREP, 
 ATTRIBUTE1, 
 ATTRIBUTE2, 
 ATTRIBUTE3, 
 ATTRIBUTE4, 
 ATTRIBUTE5, 
 CREATESTAMPA2, 
 UPDATESTAMPA2
FROM LSISPARTPROJECTLINK</t>
    <phoneticPr fontId="2" type="noConversion"/>
  </si>
  <si>
    <t>S1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</si>
  <si>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</si>
  <si>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</si>
  <si>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</si>
  <si>
    <t>EAI시스템</t>
    <phoneticPr fontId="4" type="noConversion"/>
  </si>
  <si>
    <t>2022.10.17</t>
    <phoneticPr fontId="2" type="noConversion"/>
  </si>
  <si>
    <t>박현아</t>
    <phoneticPr fontId="2" type="noConversion"/>
  </si>
  <si>
    <t>EAI 사용 쿼리 추가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</si>
</sst>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30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6" fillId="0" borderId="0" applyNumberFormat="0" applyFill="0" applyBorder="0" applyAlignment="0" applyProtection="0">
      <alignment vertical="center"/>
    </xf>
  </cellStyleXfs>
  <cellXfs count="152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5" fillId="0" borderId="15" xfId="0" applyFont="1" applyBorder="1" applyAlignment="1">
      <alignment horizontal="right" vertical="center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3" fontId="9" fillId="2" borderId="31" xfId="0" quotePrefix="1" applyNumberFormat="1" applyFont="1" applyFill="1" applyBorder="1" applyAlignment="1">
      <alignment horizontal="left" vertical="center" wrapText="1"/>
    </xf>
    <xf numFmtId="0" fontId="9" fillId="2" borderId="31" xfId="0" quotePrefix="1" applyFont="1" applyFill="1" applyBorder="1" applyAlignment="1">
      <alignment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3" xfId="0" applyFont="1" applyBorder="1">
      <alignment vertical="center"/>
    </xf>
    <xf numFmtId="0" fontId="24" fillId="8" borderId="31" xfId="6" applyFont="1" applyFill="1" applyBorder="1" applyAlignment="1">
      <alignment vertical="center"/>
    </xf>
    <xf numFmtId="0" fontId="25" fillId="0" borderId="31" xfId="6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5" fillId="0" borderId="31" xfId="0" applyFont="1" applyBorder="1" applyAlignment="1">
      <alignment horizontal="right" vertical="center"/>
    </xf>
    <xf numFmtId="1" fontId="0" fillId="0" borderId="31" xfId="0" applyNumberFormat="1" applyBorder="1" applyAlignment="1"/>
    <xf numFmtId="0" fontId="0" fillId="0" borderId="31" xfId="0" applyBorder="1" applyAlignment="1">
      <alignment horizontal="center"/>
    </xf>
    <xf numFmtId="0" fontId="25" fillId="0" borderId="31" xfId="6" applyFont="1" applyBorder="1" applyAlignment="1">
      <alignment horizontal="right" vertical="center"/>
    </xf>
    <xf numFmtId="0" fontId="7" fillId="8" borderId="31" xfId="0" applyFont="1" applyFill="1" applyBorder="1" applyAlignment="1">
      <alignment horizontal="left" vertical="center"/>
    </xf>
    <xf numFmtId="0" fontId="12" fillId="5" borderId="35" xfId="1" applyFont="1" applyFill="1" applyBorder="1" applyAlignment="1">
      <alignment horizontal="center" vertical="center" wrapText="1"/>
    </xf>
    <xf numFmtId="0" fontId="5" fillId="0" borderId="15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9" fillId="2" borderId="1" xfId="0" applyFont="1" applyFill="1" applyBorder="1" applyAlignment="1">
      <alignment horizontal="left" vertical="center"/>
    </xf>
    <xf numFmtId="0" fontId="5" fillId="2" borderId="31" xfId="0" applyFont="1" applyFill="1" applyBorder="1" applyAlignment="1">
      <alignment horizontal="center" vertical="center"/>
    </xf>
    <xf numFmtId="0" fontId="5" fillId="9" borderId="31" xfId="0" applyFont="1" applyFill="1" applyBorder="1" applyAlignment="1">
      <alignment horizontal="left" vertical="center"/>
    </xf>
    <xf numFmtId="0" fontId="5" fillId="9" borderId="31" xfId="0" applyFont="1" applyFill="1" applyBorder="1" applyAlignment="1">
      <alignment vertical="center"/>
    </xf>
    <xf numFmtId="0" fontId="9" fillId="2" borderId="31" xfId="0" applyFont="1" applyFill="1" applyBorder="1" applyAlignment="1">
      <alignment vertical="center"/>
    </xf>
    <xf numFmtId="0" fontId="28" fillId="0" borderId="31" xfId="0" applyFont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left" vertical="center"/>
    </xf>
    <xf numFmtId="0" fontId="5" fillId="9" borderId="31" xfId="0" applyFont="1" applyFill="1" applyBorder="1" applyAlignment="1">
      <alignment horizontal="right" vertical="center"/>
    </xf>
    <xf numFmtId="0" fontId="9" fillId="2" borderId="31" xfId="0" quotePrefix="1" applyFont="1" applyFill="1" applyBorder="1" applyAlignment="1">
      <alignment horizontal="left" vertical="center"/>
    </xf>
    <xf numFmtId="0" fontId="9" fillId="2" borderId="13" xfId="0" quotePrefix="1" applyFont="1" applyFill="1" applyBorder="1" applyAlignment="1">
      <alignment horizontal="left" vertical="center"/>
    </xf>
    <xf numFmtId="0" fontId="9" fillId="0" borderId="31" xfId="0" applyFont="1" applyBorder="1" applyAlignment="1">
      <alignment vertical="center"/>
    </xf>
    <xf numFmtId="0" fontId="0" fillId="0" borderId="0" xfId="0" applyAlignment="1">
      <alignment vertical="center"/>
    </xf>
    <xf numFmtId="0" fontId="12" fillId="2" borderId="31" xfId="1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vertical="center"/>
    </xf>
    <xf numFmtId="0" fontId="29" fillId="0" borderId="31" xfId="0" applyFont="1" applyBorder="1" applyAlignment="1">
      <alignment vertical="center"/>
    </xf>
    <xf numFmtId="0" fontId="9" fillId="2" borderId="31" xfId="0" applyFont="1" applyFill="1" applyBorder="1" applyAlignment="1">
      <alignment horizontal="center" vertical="center"/>
    </xf>
    <xf numFmtId="0" fontId="15" fillId="3" borderId="0" xfId="5" applyFont="1" applyFill="1" applyAlignment="1">
      <alignment vertical="center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2" fillId="6" borderId="36" xfId="1" applyFont="1" applyFill="1" applyBorder="1" applyAlignment="1">
      <alignment horizontal="left" vertical="center" wrapText="1"/>
    </xf>
    <xf numFmtId="0" fontId="12" fillId="6" borderId="33" xfId="1" applyFont="1" applyFill="1" applyBorder="1" applyAlignment="1">
      <alignment horizontal="left" vertical="center" wrapText="1"/>
    </xf>
    <xf numFmtId="0" fontId="12" fillId="6" borderId="37" xfId="1" applyFont="1" applyFill="1" applyBorder="1" applyAlignment="1">
      <alignment horizontal="left" vertical="center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27" fillId="6" borderId="17" xfId="7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13" fillId="5" borderId="38" xfId="1" applyFont="1" applyFill="1" applyBorder="1" applyAlignment="1">
      <alignment horizontal="center" vertical="center" wrapText="1"/>
    </xf>
    <xf numFmtId="0" fontId="7" fillId="6" borderId="38" xfId="0" applyFont="1" applyFill="1" applyBorder="1" applyAlignment="1">
      <alignment horizontal="center" vertical="center" wrapText="1"/>
    </xf>
    <xf numFmtId="0" fontId="10" fillId="2" borderId="38" xfId="1" applyFont="1" applyFill="1" applyBorder="1" applyAlignment="1">
      <alignment horizontal="center" vertical="center" wrapText="1"/>
    </xf>
    <xf numFmtId="0" fontId="8" fillId="6" borderId="32" xfId="1" applyFont="1" applyFill="1" applyBorder="1" applyAlignment="1">
      <alignment horizontal="left" vertical="center" wrapText="1"/>
    </xf>
    <xf numFmtId="0" fontId="21" fillId="5" borderId="39" xfId="1" applyFont="1" applyFill="1" applyBorder="1" applyAlignment="1">
      <alignment horizontal="center" vertical="center" wrapText="1"/>
    </xf>
    <xf numFmtId="0" fontId="12" fillId="6" borderId="39" xfId="1" applyFont="1" applyFill="1" applyBorder="1" applyAlignment="1">
      <alignment horizontal="left" vertical="center" wrapText="1"/>
    </xf>
    <xf numFmtId="0" fontId="10" fillId="6" borderId="39" xfId="1" applyFont="1" applyFill="1" applyBorder="1" applyAlignment="1">
      <alignment horizontal="center" vertical="center" wrapText="1"/>
    </xf>
    <xf numFmtId="0" fontId="12" fillId="5" borderId="40" xfId="1" applyFont="1" applyFill="1" applyBorder="1" applyAlignment="1">
      <alignment horizontal="center" vertical="center" wrapText="1"/>
    </xf>
    <xf numFmtId="0" fontId="12" fillId="5" borderId="39" xfId="1" applyFont="1" applyFill="1" applyBorder="1" applyAlignment="1">
      <alignment horizontal="center" vertical="center" wrapText="1"/>
    </xf>
    <xf numFmtId="0" fontId="12" fillId="6" borderId="3" xfId="1" applyFont="1" applyFill="1" applyBorder="1" applyAlignment="1">
      <alignment horizontal="left" vertical="top" wrapText="1"/>
    </xf>
    <xf numFmtId="0" fontId="12" fillId="6" borderId="16" xfId="1" applyFont="1" applyFill="1" applyBorder="1" applyAlignment="1">
      <alignment horizontal="left" vertical="top" wrapText="1"/>
    </xf>
    <xf numFmtId="0" fontId="12" fillId="6" borderId="4" xfId="1" applyFont="1" applyFill="1" applyBorder="1" applyAlignment="1">
      <alignment horizontal="left" vertical="top" wrapText="1"/>
    </xf>
  </cellXfs>
  <cellStyles count="8">
    <cellStyle name="표준" xfId="0" builtinId="0"/>
    <cellStyle name="표준 2" xfId="1"/>
    <cellStyle name="표준 2 10" xfId="6"/>
    <cellStyle name="표준 25" xfId="4"/>
    <cellStyle name="표준 3" xfId="3"/>
    <cellStyle name="표준 4" xfId="2"/>
    <cellStyle name="표준 5" xfId="5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1.xml" Type="http://schemas.openxmlformats.org/officeDocument/2006/relationships/customXml"/>
<Relationship Id="rId11" Target="../customXml/item2.xml" Type="http://schemas.openxmlformats.org/officeDocument/2006/relationships/customXml"/>
<Relationship Id="rId12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externalLinks/externalLink2.xml" Type="http://schemas.openxmlformats.org/officeDocument/2006/relationships/externalLink"/>
<Relationship Id="rId6" Target="theme/theme1.xml" Type="http://schemas.openxmlformats.org/officeDocument/2006/relationships/theme"/>
<Relationship Id="rId7" Target="styles.xml" Type="http://schemas.openxmlformats.org/officeDocument/2006/relationships/styles"/>
<Relationship Id="rId8" Target="sharedStrings.xml" Type="http://schemas.openxmlformats.org/officeDocument/2006/relationships/sharedStrings"/>
<Relationship Id="rId9" Target="calcChain.xml" Type="http://schemas.openxmlformats.org/officeDocument/2006/relationships/calcChain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_rels/externalLink2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COST/&#51064;&#53552;&#54168;&#51060;&#49828;_&#47588;&#54609;&#51221;&#51032;&#49436;_ECST_BI_MFG_COGS_DETAILS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tabSelected="1" zoomScale="85" zoomScaleNormal="85" workbookViewId="0">
      <selection activeCell="G23" sqref="G23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69" t="s">
        <v>4</v>
      </c>
      <c r="C5" s="70"/>
      <c r="D5" s="71" t="s">
        <v>5</v>
      </c>
      <c r="E5" s="70"/>
      <c r="F5" s="71" t="s">
        <v>1</v>
      </c>
      <c r="G5" s="72"/>
      <c r="H5" s="72"/>
      <c r="I5" s="72"/>
      <c r="J5" s="70"/>
      <c r="K5" s="71" t="s">
        <v>6</v>
      </c>
      <c r="L5" s="73"/>
      <c r="M5" s="9"/>
      <c r="N5" s="69" t="s">
        <v>4</v>
      </c>
      <c r="O5" s="70"/>
      <c r="P5" s="71" t="s">
        <v>5</v>
      </c>
      <c r="Q5" s="70"/>
      <c r="R5" s="71" t="s">
        <v>1</v>
      </c>
      <c r="S5" s="72"/>
      <c r="T5" s="72"/>
      <c r="U5" s="72"/>
      <c r="V5" s="70"/>
      <c r="W5" s="71" t="s">
        <v>6</v>
      </c>
      <c r="X5" s="73"/>
    </row>
    <row r="6" spans="1:24" x14ac:dyDescent="0.3">
      <c r="A6" s="9"/>
      <c r="B6" s="74"/>
      <c r="C6" s="75"/>
      <c r="D6" s="76"/>
      <c r="E6" s="75"/>
      <c r="F6" s="77" t="s">
        <v>7</v>
      </c>
      <c r="G6" s="78"/>
      <c r="H6" s="78"/>
      <c r="I6" s="78"/>
      <c r="J6" s="79"/>
      <c r="K6" s="76">
        <v>0.1</v>
      </c>
      <c r="L6" s="80"/>
      <c r="M6" s="9"/>
      <c r="N6" s="74" t="s">
        <v>8</v>
      </c>
      <c r="O6" s="75"/>
      <c r="P6" s="76" t="s">
        <v>9</v>
      </c>
      <c r="Q6" s="75"/>
      <c r="R6" s="77" t="s">
        <v>7</v>
      </c>
      <c r="S6" s="78"/>
      <c r="T6" s="78"/>
      <c r="U6" s="78"/>
      <c r="V6" s="79"/>
      <c r="W6" s="76">
        <v>0.1</v>
      </c>
      <c r="X6" s="80"/>
    </row>
    <row r="7" spans="1:24" x14ac:dyDescent="0.3">
      <c r="A7" s="9"/>
      <c r="B7" s="74"/>
      <c r="C7" s="75"/>
      <c r="D7" s="76"/>
      <c r="E7" s="75"/>
      <c r="F7" s="77"/>
      <c r="G7" s="78"/>
      <c r="H7" s="78"/>
      <c r="I7" s="78"/>
      <c r="J7" s="79"/>
      <c r="K7" s="76"/>
      <c r="L7" s="80"/>
      <c r="M7" s="9"/>
      <c r="N7" s="74"/>
      <c r="O7" s="75"/>
      <c r="P7" s="76"/>
      <c r="Q7" s="75"/>
      <c r="R7" s="81"/>
      <c r="S7" s="78"/>
      <c r="T7" s="78"/>
      <c r="U7" s="78"/>
      <c r="V7" s="79"/>
      <c r="W7" s="76"/>
      <c r="X7" s="80"/>
    </row>
    <row r="8" spans="1:24" x14ac:dyDescent="0.3">
      <c r="A8" s="9"/>
      <c r="B8" s="74"/>
      <c r="C8" s="75"/>
      <c r="D8" s="76"/>
      <c r="E8" s="75"/>
      <c r="F8" s="81"/>
      <c r="G8" s="78"/>
      <c r="H8" s="78"/>
      <c r="I8" s="78"/>
      <c r="J8" s="79"/>
      <c r="K8" s="82"/>
      <c r="L8" s="83"/>
      <c r="M8" s="9"/>
      <c r="N8" s="74"/>
      <c r="O8" s="75"/>
      <c r="P8" s="76"/>
      <c r="Q8" s="75"/>
      <c r="R8" s="81"/>
      <c r="S8" s="78"/>
      <c r="T8" s="78"/>
      <c r="U8" s="78"/>
      <c r="V8" s="79"/>
      <c r="W8" s="82"/>
      <c r="X8" s="83"/>
    </row>
    <row r="9" spans="1:24" x14ac:dyDescent="0.3">
      <c r="A9" s="9"/>
      <c r="B9" s="74"/>
      <c r="C9" s="75"/>
      <c r="D9" s="76"/>
      <c r="E9" s="75"/>
      <c r="F9" s="81"/>
      <c r="G9" s="78"/>
      <c r="H9" s="78"/>
      <c r="I9" s="78"/>
      <c r="J9" s="79"/>
      <c r="K9" s="82"/>
      <c r="L9" s="83"/>
      <c r="M9" s="9"/>
      <c r="N9" s="74"/>
      <c r="O9" s="75"/>
      <c r="P9" s="76"/>
      <c r="Q9" s="75"/>
      <c r="R9" s="81"/>
      <c r="S9" s="78"/>
      <c r="T9" s="78"/>
      <c r="U9" s="78"/>
      <c r="V9" s="79"/>
      <c r="W9" s="82"/>
      <c r="X9" s="83"/>
    </row>
    <row r="11" spans="1:24" ht="18" thickBot="1" x14ac:dyDescent="0.35">
      <c r="B11" s="11" t="s">
        <v>261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24" x14ac:dyDescent="0.3">
      <c r="B12" s="69" t="s">
        <v>4</v>
      </c>
      <c r="C12" s="70"/>
      <c r="D12" s="71" t="s">
        <v>5</v>
      </c>
      <c r="E12" s="70"/>
      <c r="F12" s="71" t="s">
        <v>1</v>
      </c>
      <c r="G12" s="72"/>
      <c r="H12" s="72"/>
      <c r="I12" s="72"/>
      <c r="J12" s="70"/>
      <c r="K12" s="71" t="s">
        <v>6</v>
      </c>
      <c r="L12" s="73"/>
    </row>
    <row r="13" spans="1:24" x14ac:dyDescent="0.3">
      <c r="B13" s="74" t="s">
        <v>262</v>
      </c>
      <c r="C13" s="75"/>
      <c r="D13" s="76" t="s">
        <v>263</v>
      </c>
      <c r="E13" s="75"/>
      <c r="F13" s="77" t="s">
        <v>264</v>
      </c>
      <c r="G13" s="78"/>
      <c r="H13" s="78"/>
      <c r="I13" s="78"/>
      <c r="J13" s="79"/>
      <c r="K13" s="76">
        <v>0.2</v>
      </c>
      <c r="L13" s="80"/>
    </row>
    <row r="14" spans="1:24" x14ac:dyDescent="0.3">
      <c r="B14" s="74"/>
      <c r="C14" s="75"/>
      <c r="D14" s="76"/>
      <c r="E14" s="75"/>
      <c r="F14" s="77"/>
      <c r="G14" s="78"/>
      <c r="H14" s="78"/>
      <c r="I14" s="78"/>
      <c r="J14" s="79"/>
      <c r="K14" s="76"/>
      <c r="L14" s="80"/>
    </row>
    <row r="15" spans="1:24" x14ac:dyDescent="0.3">
      <c r="B15" s="74"/>
      <c r="C15" s="75"/>
      <c r="D15" s="76"/>
      <c r="E15" s="75"/>
      <c r="F15" s="81"/>
      <c r="G15" s="78"/>
      <c r="H15" s="78"/>
      <c r="I15" s="78"/>
      <c r="J15" s="79"/>
      <c r="K15" s="82"/>
      <c r="L15" s="83"/>
    </row>
    <row r="16" spans="1:24" x14ac:dyDescent="0.3">
      <c r="B16" s="74"/>
      <c r="C16" s="75"/>
      <c r="D16" s="76"/>
      <c r="E16" s="75"/>
      <c r="F16" s="81"/>
      <c r="G16" s="78"/>
      <c r="H16" s="78"/>
      <c r="I16" s="78"/>
      <c r="J16" s="79"/>
      <c r="K16" s="82"/>
      <c r="L16" s="83"/>
    </row>
  </sheetData>
  <mergeCells count="61">
    <mergeCell ref="B16:C16"/>
    <mergeCell ref="D16:E16"/>
    <mergeCell ref="F16:J16"/>
    <mergeCell ref="K16:L16"/>
    <mergeCell ref="B14:C14"/>
    <mergeCell ref="D14:E14"/>
    <mergeCell ref="F14:J14"/>
    <mergeCell ref="K14:L14"/>
    <mergeCell ref="B15:C15"/>
    <mergeCell ref="D15:E15"/>
    <mergeCell ref="F15:J15"/>
    <mergeCell ref="K15:L15"/>
    <mergeCell ref="B12:C12"/>
    <mergeCell ref="D12:E12"/>
    <mergeCell ref="F12:J12"/>
    <mergeCell ref="K12:L12"/>
    <mergeCell ref="B13:C13"/>
    <mergeCell ref="D13:E13"/>
    <mergeCell ref="F13:J13"/>
    <mergeCell ref="K13:L13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P7:Q7"/>
    <mergeCell ref="R7:V7"/>
    <mergeCell ref="W7:X7"/>
    <mergeCell ref="R8:V8"/>
    <mergeCell ref="W8:X8"/>
    <mergeCell ref="B7:C7"/>
    <mergeCell ref="D7:E7"/>
    <mergeCell ref="F7:J7"/>
    <mergeCell ref="K7:L7"/>
    <mergeCell ref="N7:O7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A1:M1"/>
    <mergeCell ref="B5:C5"/>
    <mergeCell ref="D5:E5"/>
    <mergeCell ref="F5:J5"/>
    <mergeCell ref="K5:L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1"/>
  <sheetViews>
    <sheetView topLeftCell="A46" workbookViewId="0">
      <selection activeCell="D69" sqref="D69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10</v>
      </c>
      <c r="C2" s="16" t="s">
        <v>11</v>
      </c>
      <c r="E2" s="16" t="s">
        <v>12</v>
      </c>
      <c r="G2" s="16" t="s">
        <v>13</v>
      </c>
      <c r="I2" s="16" t="s">
        <v>14</v>
      </c>
      <c r="K2" s="16" t="s">
        <v>15</v>
      </c>
      <c r="M2" s="16" t="s">
        <v>16</v>
      </c>
    </row>
    <row r="3" spans="2:13" x14ac:dyDescent="0.3">
      <c r="B3" s="17" t="s">
        <v>17</v>
      </c>
      <c r="C3" s="17" t="s">
        <v>18</v>
      </c>
      <c r="E3" s="18" t="s">
        <v>19</v>
      </c>
      <c r="G3" s="18" t="s">
        <v>20</v>
      </c>
      <c r="I3" s="17" t="s">
        <v>21</v>
      </c>
      <c r="K3" s="18" t="s">
        <v>22</v>
      </c>
      <c r="M3" s="18" t="s">
        <v>23</v>
      </c>
    </row>
    <row r="4" spans="2:13" x14ac:dyDescent="0.3">
      <c r="B4" s="17" t="s">
        <v>24</v>
      </c>
      <c r="C4" s="17" t="s">
        <v>25</v>
      </c>
      <c r="E4" s="18" t="s">
        <v>26</v>
      </c>
      <c r="G4" s="18" t="s">
        <v>27</v>
      </c>
      <c r="I4" s="18" t="s">
        <v>28</v>
      </c>
      <c r="K4" s="18" t="s">
        <v>29</v>
      </c>
      <c r="M4" s="18" t="s">
        <v>30</v>
      </c>
    </row>
    <row r="5" spans="2:13" x14ac:dyDescent="0.3">
      <c r="B5" s="17" t="s">
        <v>31</v>
      </c>
      <c r="C5" s="17" t="s">
        <v>32</v>
      </c>
      <c r="E5" s="18" t="s">
        <v>33</v>
      </c>
      <c r="I5" s="18" t="s">
        <v>34</v>
      </c>
      <c r="K5" s="18" t="s">
        <v>35</v>
      </c>
    </row>
    <row r="6" spans="2:13" x14ac:dyDescent="0.3">
      <c r="B6" s="17" t="s">
        <v>36</v>
      </c>
      <c r="C6" s="17" t="s">
        <v>37</v>
      </c>
      <c r="E6" s="18" t="s">
        <v>38</v>
      </c>
      <c r="I6" s="18" t="s">
        <v>39</v>
      </c>
    </row>
    <row r="7" spans="2:13" x14ac:dyDescent="0.3">
      <c r="B7" s="17" t="s">
        <v>40</v>
      </c>
      <c r="C7" s="17" t="s">
        <v>41</v>
      </c>
      <c r="I7" s="18" t="s">
        <v>42</v>
      </c>
    </row>
    <row r="8" spans="2:13" x14ac:dyDescent="0.3">
      <c r="B8" s="17" t="s">
        <v>43</v>
      </c>
      <c r="C8" s="17" t="s">
        <v>44</v>
      </c>
      <c r="I8" s="18" t="s">
        <v>45</v>
      </c>
    </row>
    <row r="9" spans="2:13" x14ac:dyDescent="0.3">
      <c r="B9" s="17" t="s">
        <v>46</v>
      </c>
      <c r="C9" s="17" t="s">
        <v>47</v>
      </c>
      <c r="I9" s="18" t="s">
        <v>48</v>
      </c>
    </row>
    <row r="10" spans="2:13" x14ac:dyDescent="0.3">
      <c r="B10" s="17" t="s">
        <v>49</v>
      </c>
      <c r="C10" s="17" t="s">
        <v>50</v>
      </c>
      <c r="I10" s="18" t="s">
        <v>51</v>
      </c>
    </row>
    <row r="11" spans="2:13" x14ac:dyDescent="0.3">
      <c r="B11" s="17" t="s">
        <v>52</v>
      </c>
      <c r="C11" s="17" t="s">
        <v>53</v>
      </c>
    </row>
    <row r="12" spans="2:13" x14ac:dyDescent="0.3">
      <c r="B12" s="17" t="s">
        <v>54</v>
      </c>
      <c r="C12" s="17" t="s">
        <v>55</v>
      </c>
    </row>
    <row r="13" spans="2:13" x14ac:dyDescent="0.3">
      <c r="B13" s="17" t="s">
        <v>56</v>
      </c>
      <c r="C13" s="17" t="s">
        <v>57</v>
      </c>
    </row>
    <row r="14" spans="2:13" x14ac:dyDescent="0.3">
      <c r="B14" s="17" t="s">
        <v>58</v>
      </c>
      <c r="C14" s="17" t="s">
        <v>59</v>
      </c>
    </row>
    <row r="15" spans="2:13" x14ac:dyDescent="0.3">
      <c r="B15" s="17" t="s">
        <v>60</v>
      </c>
      <c r="C15" s="17" t="s">
        <v>61</v>
      </c>
    </row>
    <row r="16" spans="2:13" x14ac:dyDescent="0.3">
      <c r="B16" s="17" t="s">
        <v>62</v>
      </c>
      <c r="C16" s="17" t="s">
        <v>63</v>
      </c>
    </row>
    <row r="17" spans="2:3" x14ac:dyDescent="0.3">
      <c r="B17" s="17" t="s">
        <v>64</v>
      </c>
      <c r="C17" s="17" t="s">
        <v>65</v>
      </c>
    </row>
    <row r="18" spans="2:3" x14ac:dyDescent="0.3">
      <c r="B18" s="17" t="s">
        <v>66</v>
      </c>
      <c r="C18" s="17" t="s">
        <v>67</v>
      </c>
    </row>
    <row r="19" spans="2:3" x14ac:dyDescent="0.3">
      <c r="B19" s="17" t="s">
        <v>68</v>
      </c>
      <c r="C19" s="17" t="s">
        <v>69</v>
      </c>
    </row>
    <row r="20" spans="2:3" x14ac:dyDescent="0.3">
      <c r="B20" s="17" t="s">
        <v>70</v>
      </c>
      <c r="C20" s="17" t="s">
        <v>71</v>
      </c>
    </row>
    <row r="21" spans="2:3" x14ac:dyDescent="0.3">
      <c r="B21" s="17" t="s">
        <v>72</v>
      </c>
      <c r="C21" s="17" t="s">
        <v>73</v>
      </c>
    </row>
    <row r="22" spans="2:3" x14ac:dyDescent="0.3">
      <c r="B22" s="17" t="s">
        <v>74</v>
      </c>
      <c r="C22" s="17" t="s">
        <v>75</v>
      </c>
    </row>
    <row r="23" spans="2:3" x14ac:dyDescent="0.3">
      <c r="B23" s="17" t="s">
        <v>76</v>
      </c>
      <c r="C23" s="19" t="s">
        <v>77</v>
      </c>
    </row>
    <row r="24" spans="2:3" x14ac:dyDescent="0.3">
      <c r="B24" s="17" t="s">
        <v>78</v>
      </c>
      <c r="C24" s="17" t="s">
        <v>79</v>
      </c>
    </row>
    <row r="25" spans="2:3" x14ac:dyDescent="0.3">
      <c r="B25" s="17" t="s">
        <v>80</v>
      </c>
      <c r="C25" s="17" t="s">
        <v>63</v>
      </c>
    </row>
    <row r="26" spans="2:3" x14ac:dyDescent="0.3">
      <c r="B26" s="17" t="s">
        <v>81</v>
      </c>
      <c r="C26" s="17" t="s">
        <v>82</v>
      </c>
    </row>
    <row r="27" spans="2:3" x14ac:dyDescent="0.3">
      <c r="B27" s="17" t="s">
        <v>83</v>
      </c>
      <c r="C27" s="17" t="s">
        <v>84</v>
      </c>
    </row>
    <row r="28" spans="2:3" x14ac:dyDescent="0.3">
      <c r="B28" s="17" t="s">
        <v>85</v>
      </c>
      <c r="C28" s="17" t="s">
        <v>86</v>
      </c>
    </row>
    <row r="29" spans="2:3" x14ac:dyDescent="0.3">
      <c r="B29" s="17" t="s">
        <v>87</v>
      </c>
      <c r="C29" s="17" t="s">
        <v>88</v>
      </c>
    </row>
    <row r="30" spans="2:3" x14ac:dyDescent="0.3">
      <c r="B30" s="17" t="s">
        <v>89</v>
      </c>
      <c r="C30" s="17" t="s">
        <v>90</v>
      </c>
    </row>
    <row r="31" spans="2:3" x14ac:dyDescent="0.3">
      <c r="B31" s="17" t="s">
        <v>91</v>
      </c>
      <c r="C31" s="17" t="s">
        <v>92</v>
      </c>
    </row>
    <row r="32" spans="2:3" x14ac:dyDescent="0.3">
      <c r="B32" s="17" t="s">
        <v>93</v>
      </c>
      <c r="C32" s="17" t="s">
        <v>63</v>
      </c>
    </row>
    <row r="33" spans="2:3" x14ac:dyDescent="0.3">
      <c r="B33" s="17" t="s">
        <v>94</v>
      </c>
      <c r="C33" s="17" t="s">
        <v>95</v>
      </c>
    </row>
    <row r="34" spans="2:3" x14ac:dyDescent="0.3">
      <c r="B34" s="17" t="s">
        <v>96</v>
      </c>
      <c r="C34" s="17" t="s">
        <v>63</v>
      </c>
    </row>
    <row r="35" spans="2:3" x14ac:dyDescent="0.3">
      <c r="B35" s="17" t="s">
        <v>97</v>
      </c>
      <c r="C35" s="17" t="s">
        <v>98</v>
      </c>
    </row>
    <row r="36" spans="2:3" x14ac:dyDescent="0.3">
      <c r="B36" s="20" t="s">
        <v>99</v>
      </c>
      <c r="C36" s="17" t="s">
        <v>100</v>
      </c>
    </row>
    <row r="37" spans="2:3" x14ac:dyDescent="0.3">
      <c r="B37" s="17" t="s">
        <v>101</v>
      </c>
      <c r="C37" s="17" t="s">
        <v>63</v>
      </c>
    </row>
    <row r="38" spans="2:3" x14ac:dyDescent="0.3">
      <c r="B38" s="17" t="s">
        <v>102</v>
      </c>
      <c r="C38" s="17" t="s">
        <v>63</v>
      </c>
    </row>
    <row r="39" spans="2:3" x14ac:dyDescent="0.3">
      <c r="B39" s="17" t="s">
        <v>103</v>
      </c>
      <c r="C39" s="17" t="s">
        <v>104</v>
      </c>
    </row>
    <row r="40" spans="2:3" x14ac:dyDescent="0.3">
      <c r="B40" s="17" t="s">
        <v>105</v>
      </c>
      <c r="C40" s="17" t="s">
        <v>105</v>
      </c>
    </row>
    <row r="41" spans="2:3" x14ac:dyDescent="0.3">
      <c r="B41" s="20" t="s">
        <v>106</v>
      </c>
      <c r="C41" s="17" t="s">
        <v>63</v>
      </c>
    </row>
    <row r="42" spans="2:3" x14ac:dyDescent="0.3">
      <c r="B42" s="20" t="s">
        <v>107</v>
      </c>
      <c r="C42" s="17" t="s">
        <v>108</v>
      </c>
    </row>
    <row r="43" spans="2:3" x14ac:dyDescent="0.3">
      <c r="B43" s="17" t="s">
        <v>109</v>
      </c>
      <c r="C43" s="17" t="s">
        <v>110</v>
      </c>
    </row>
    <row r="44" spans="2:3" x14ac:dyDescent="0.3">
      <c r="B44" s="17" t="s">
        <v>111</v>
      </c>
      <c r="C44" s="17" t="s">
        <v>112</v>
      </c>
    </row>
    <row r="45" spans="2:3" x14ac:dyDescent="0.3">
      <c r="B45" s="17" t="s">
        <v>113</v>
      </c>
      <c r="C45" s="17" t="s">
        <v>63</v>
      </c>
    </row>
    <row r="46" spans="2:3" x14ac:dyDescent="0.3">
      <c r="B46" s="17" t="s">
        <v>114</v>
      </c>
      <c r="C46" s="17" t="s">
        <v>115</v>
      </c>
    </row>
    <row r="47" spans="2:3" x14ac:dyDescent="0.3">
      <c r="B47" s="17" t="s">
        <v>116</v>
      </c>
      <c r="C47" s="17" t="s">
        <v>117</v>
      </c>
    </row>
    <row r="48" spans="2:3" x14ac:dyDescent="0.3">
      <c r="B48" s="17" t="s">
        <v>118</v>
      </c>
      <c r="C48" s="17" t="s">
        <v>63</v>
      </c>
    </row>
    <row r="49" spans="2:3" x14ac:dyDescent="0.3">
      <c r="B49" s="20" t="s">
        <v>119</v>
      </c>
      <c r="C49" s="17" t="s">
        <v>120</v>
      </c>
    </row>
    <row r="50" spans="2:3" x14ac:dyDescent="0.3">
      <c r="B50" s="17" t="s">
        <v>121</v>
      </c>
      <c r="C50" s="17" t="s">
        <v>63</v>
      </c>
    </row>
    <row r="51" spans="2:3" x14ac:dyDescent="0.3">
      <c r="B51" s="17" t="s">
        <v>122</v>
      </c>
      <c r="C51" s="17" t="s">
        <v>123</v>
      </c>
    </row>
    <row r="52" spans="2:3" x14ac:dyDescent="0.3">
      <c r="B52" s="17" t="s">
        <v>124</v>
      </c>
      <c r="C52" s="17" t="s">
        <v>63</v>
      </c>
    </row>
    <row r="53" spans="2:3" x14ac:dyDescent="0.3">
      <c r="B53" s="17" t="s">
        <v>125</v>
      </c>
      <c r="C53" s="17" t="s">
        <v>126</v>
      </c>
    </row>
    <row r="54" spans="2:3" x14ac:dyDescent="0.3">
      <c r="B54" s="17" t="s">
        <v>127</v>
      </c>
      <c r="C54" s="17" t="s">
        <v>128</v>
      </c>
    </row>
    <row r="55" spans="2:3" x14ac:dyDescent="0.3">
      <c r="B55" s="17" t="s">
        <v>129</v>
      </c>
      <c r="C55" s="17" t="s">
        <v>63</v>
      </c>
    </row>
    <row r="56" spans="2:3" x14ac:dyDescent="0.3">
      <c r="B56" s="17" t="s">
        <v>130</v>
      </c>
      <c r="C56" s="17" t="s">
        <v>63</v>
      </c>
    </row>
    <row r="57" spans="2:3" x14ac:dyDescent="0.3">
      <c r="B57" s="17" t="s">
        <v>131</v>
      </c>
      <c r="C57" s="17" t="s">
        <v>132</v>
      </c>
    </row>
    <row r="58" spans="2:3" x14ac:dyDescent="0.3">
      <c r="B58" s="17" t="s">
        <v>133</v>
      </c>
      <c r="C58" s="17" t="s">
        <v>134</v>
      </c>
    </row>
    <row r="59" spans="2:3" x14ac:dyDescent="0.3">
      <c r="B59" s="17" t="s">
        <v>135</v>
      </c>
      <c r="C59" s="17" t="s">
        <v>77</v>
      </c>
    </row>
    <row r="60" spans="2:3" x14ac:dyDescent="0.3">
      <c r="B60" s="17" t="s">
        <v>136</v>
      </c>
      <c r="C60" s="17" t="s">
        <v>137</v>
      </c>
    </row>
    <row r="61" spans="2:3" x14ac:dyDescent="0.3">
      <c r="B61" s="17" t="s">
        <v>138</v>
      </c>
      <c r="C61" s="17" t="s">
        <v>139</v>
      </c>
    </row>
    <row r="62" spans="2:3" x14ac:dyDescent="0.3">
      <c r="B62" s="17" t="s">
        <v>140</v>
      </c>
      <c r="C62" s="17" t="s">
        <v>141</v>
      </c>
    </row>
    <row r="63" spans="2:3" x14ac:dyDescent="0.3">
      <c r="B63" s="17" t="s">
        <v>142</v>
      </c>
      <c r="C63" s="17" t="s">
        <v>143</v>
      </c>
    </row>
    <row r="64" spans="2:3" x14ac:dyDescent="0.3">
      <c r="B64" s="17" t="s">
        <v>144</v>
      </c>
      <c r="C64" s="17" t="s">
        <v>144</v>
      </c>
    </row>
    <row r="65" spans="2:3" x14ac:dyDescent="0.3">
      <c r="B65" s="17" t="s">
        <v>145</v>
      </c>
      <c r="C65" s="17" t="s">
        <v>146</v>
      </c>
    </row>
    <row r="66" spans="2:3" x14ac:dyDescent="0.3">
      <c r="B66" s="17" t="s">
        <v>147</v>
      </c>
      <c r="C66" s="17" t="s">
        <v>148</v>
      </c>
    </row>
    <row r="67" spans="2:3" x14ac:dyDescent="0.3">
      <c r="B67" s="17" t="s">
        <v>149</v>
      </c>
      <c r="C67" s="17" t="s">
        <v>63</v>
      </c>
    </row>
    <row r="68" spans="2:3" x14ac:dyDescent="0.3">
      <c r="B68" s="17" t="s">
        <v>150</v>
      </c>
      <c r="C68" s="17" t="s">
        <v>151</v>
      </c>
    </row>
    <row r="69" spans="2:3" x14ac:dyDescent="0.3">
      <c r="B69" s="17" t="s">
        <v>152</v>
      </c>
      <c r="C69" s="17" t="s">
        <v>152</v>
      </c>
    </row>
    <row r="70" spans="2:3" x14ac:dyDescent="0.3">
      <c r="B70" s="17" t="s">
        <v>153</v>
      </c>
      <c r="C70" s="17" t="s">
        <v>154</v>
      </c>
    </row>
    <row r="71" spans="2:3" x14ac:dyDescent="0.3">
      <c r="B71" s="17"/>
      <c r="C71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X48"/>
  <sheetViews>
    <sheetView zoomScale="85" zoomScaleNormal="85" workbookViewId="0">
      <selection activeCell="G52" sqref="G52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28.875" style="3" customWidth="1"/>
    <col min="4" max="4" width="4.375" style="3" bestFit="1" customWidth="1"/>
    <col min="5" max="5" width="19" style="3" customWidth="1"/>
    <col min="6" max="6" width="4.25" style="3" bestFit="1" customWidth="1"/>
    <col min="7" max="7" width="13" style="3" bestFit="1" customWidth="1"/>
    <col min="8" max="8" width="5.625" style="3" bestFit="1" customWidth="1"/>
    <col min="9" max="9" width="7.75" style="3" customWidth="1"/>
    <col min="10" max="10" width="28.375" style="3" customWidth="1"/>
    <col min="11" max="11" width="17.25" style="3" customWidth="1"/>
    <col min="12" max="12" width="6" style="3" customWidth="1"/>
    <col min="13" max="13" width="6" style="3" hidden="1" customWidth="1"/>
    <col min="14" max="14" width="28.875" style="3" customWidth="1"/>
    <col min="15" max="15" width="4.375" style="3" bestFit="1" customWidth="1"/>
    <col min="16" max="16" width="19" style="3" customWidth="1"/>
    <col min="17" max="17" width="4.375" style="3" customWidth="1"/>
    <col min="18" max="18" width="11" style="3" customWidth="1"/>
    <col min="19" max="19" width="5" style="3" customWidth="1"/>
    <col min="20" max="20" width="9" style="3" customWidth="1"/>
    <col min="21" max="21" width="21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10" t="s">
        <v>155</v>
      </c>
      <c r="D2" s="111"/>
      <c r="E2" s="111"/>
      <c r="F2" s="111"/>
      <c r="G2" s="111"/>
      <c r="H2" s="111"/>
      <c r="I2" s="111"/>
      <c r="J2" s="111"/>
      <c r="K2" s="111"/>
      <c r="L2" s="111"/>
      <c r="M2" s="140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</row>
    <row r="3" spans="3:24" ht="16.5" customHeight="1" x14ac:dyDescent="0.3">
      <c r="C3" s="23" t="s">
        <v>156</v>
      </c>
      <c r="D3" s="112" t="s">
        <v>251</v>
      </c>
      <c r="E3" s="113"/>
      <c r="F3" s="113"/>
      <c r="G3" s="113"/>
      <c r="H3" s="114"/>
      <c r="I3" s="115" t="s">
        <v>157</v>
      </c>
      <c r="J3" s="115"/>
      <c r="K3" s="116" t="s">
        <v>158</v>
      </c>
      <c r="L3" s="117"/>
      <c r="M3" s="141"/>
      <c r="N3" s="24" t="s">
        <v>159</v>
      </c>
      <c r="O3" s="118" t="s">
        <v>158</v>
      </c>
      <c r="P3" s="119"/>
      <c r="Q3" s="119"/>
      <c r="R3" s="119"/>
      <c r="S3" s="119"/>
      <c r="T3" s="119"/>
      <c r="U3" s="120"/>
      <c r="V3" s="24" t="s">
        <v>160</v>
      </c>
      <c r="W3" s="121">
        <v>44847</v>
      </c>
      <c r="X3" s="117"/>
    </row>
    <row r="4" spans="3:24" ht="16.5" customHeight="1" x14ac:dyDescent="0.3">
      <c r="C4" s="23" t="s">
        <v>161</v>
      </c>
      <c r="D4" s="112" t="s">
        <v>162</v>
      </c>
      <c r="E4" s="113"/>
      <c r="F4" s="113"/>
      <c r="G4" s="113"/>
      <c r="H4" s="114"/>
      <c r="I4" s="131" t="s">
        <v>15</v>
      </c>
      <c r="J4" s="132"/>
      <c r="K4" s="116" t="s">
        <v>163</v>
      </c>
      <c r="L4" s="117"/>
      <c r="M4" s="141"/>
      <c r="N4" s="24" t="s">
        <v>164</v>
      </c>
      <c r="O4" s="118" t="s">
        <v>165</v>
      </c>
      <c r="P4" s="119"/>
      <c r="Q4" s="119"/>
      <c r="R4" s="119"/>
      <c r="S4" s="119"/>
      <c r="T4" s="119"/>
      <c r="U4" s="120"/>
      <c r="V4" s="24" t="s">
        <v>166</v>
      </c>
      <c r="W4" s="124"/>
      <c r="X4" s="125"/>
    </row>
    <row r="5" spans="3:24" ht="16.5" customHeight="1" x14ac:dyDescent="0.3">
      <c r="C5" s="25" t="s">
        <v>167</v>
      </c>
      <c r="D5" s="133"/>
      <c r="E5" s="134"/>
      <c r="F5" s="134"/>
      <c r="G5" s="134"/>
      <c r="H5" s="135"/>
      <c r="I5" s="89" t="s">
        <v>168</v>
      </c>
      <c r="J5" s="89"/>
      <c r="K5" s="122"/>
      <c r="L5" s="123"/>
      <c r="M5" s="142"/>
      <c r="N5" s="25" t="s">
        <v>169</v>
      </c>
      <c r="O5" s="136"/>
      <c r="P5" s="137"/>
      <c r="Q5" s="137"/>
      <c r="R5" s="137"/>
      <c r="S5" s="137"/>
      <c r="T5" s="137"/>
      <c r="U5" s="138"/>
      <c r="V5" s="25" t="s">
        <v>170</v>
      </c>
      <c r="W5" s="122"/>
      <c r="X5" s="123"/>
    </row>
    <row r="7" spans="3:24" ht="45.75" customHeight="1" x14ac:dyDescent="0.3">
      <c r="C7" s="13" t="s">
        <v>171</v>
      </c>
      <c r="D7" s="128" t="s">
        <v>172</v>
      </c>
      <c r="E7" s="129"/>
      <c r="F7" s="129"/>
      <c r="G7" s="129"/>
      <c r="H7" s="129"/>
      <c r="I7" s="129"/>
      <c r="J7" s="129"/>
      <c r="K7" s="129"/>
      <c r="L7" s="129"/>
      <c r="M7" s="143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30"/>
    </row>
    <row r="8" spans="3:24" ht="27" customHeight="1" x14ac:dyDescent="0.3">
      <c r="C8" s="13" t="s">
        <v>173</v>
      </c>
      <c r="D8" s="128" t="s">
        <v>174</v>
      </c>
      <c r="E8" s="129"/>
      <c r="F8" s="129"/>
      <c r="G8" s="129"/>
      <c r="H8" s="129"/>
      <c r="I8" s="129"/>
      <c r="J8" s="129"/>
      <c r="K8" s="129"/>
      <c r="L8" s="129"/>
      <c r="M8" s="143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30"/>
    </row>
    <row r="10" spans="3:24" ht="38.25" customHeight="1" x14ac:dyDescent="0.3">
      <c r="C10" s="101" t="s">
        <v>175</v>
      </c>
      <c r="D10" s="101"/>
      <c r="E10" s="101"/>
      <c r="F10" s="101"/>
      <c r="G10" s="101"/>
      <c r="H10" s="101"/>
      <c r="I10" s="101"/>
      <c r="J10" s="101"/>
      <c r="K10" s="101"/>
      <c r="L10" s="139"/>
      <c r="M10" s="144"/>
      <c r="N10" s="100" t="s">
        <v>176</v>
      </c>
      <c r="O10" s="101"/>
      <c r="P10" s="101"/>
      <c r="Q10" s="101"/>
      <c r="R10" s="101"/>
      <c r="S10" s="101"/>
      <c r="T10" s="101"/>
      <c r="U10" s="101"/>
      <c r="V10" s="101"/>
      <c r="W10" s="101"/>
      <c r="X10" s="89" t="s">
        <v>177</v>
      </c>
    </row>
    <row r="11" spans="3:24" ht="16.5" customHeight="1" x14ac:dyDescent="0.3">
      <c r="C11" s="99" t="s">
        <v>10</v>
      </c>
      <c r="D11" s="104"/>
      <c r="E11" s="104"/>
      <c r="F11" s="102"/>
      <c r="G11" s="105" t="s">
        <v>178</v>
      </c>
      <c r="H11" s="106"/>
      <c r="I11" s="106"/>
      <c r="J11" s="106"/>
      <c r="K11" s="106"/>
      <c r="L11" s="109"/>
      <c r="M11" s="145"/>
      <c r="N11" s="108" t="s">
        <v>10</v>
      </c>
      <c r="O11" s="104"/>
      <c r="P11" s="104"/>
      <c r="Q11" s="102"/>
      <c r="R11" s="105" t="s">
        <v>152</v>
      </c>
      <c r="S11" s="106"/>
      <c r="T11" s="106"/>
      <c r="U11" s="106"/>
      <c r="V11" s="106"/>
      <c r="W11" s="109"/>
      <c r="X11" s="89"/>
    </row>
    <row r="12" spans="3:24" ht="16.5" customHeight="1" x14ac:dyDescent="0.3">
      <c r="C12" s="99" t="s">
        <v>179</v>
      </c>
      <c r="D12" s="104"/>
      <c r="E12" s="104"/>
      <c r="F12" s="102"/>
      <c r="G12" s="105" t="str">
        <f>VLOOKUP(G11,Code!$B$3:$C$70,2,0)</f>
        <v>DPS</v>
      </c>
      <c r="H12" s="106"/>
      <c r="I12" s="106"/>
      <c r="J12" s="106"/>
      <c r="K12" s="106"/>
      <c r="L12" s="107"/>
      <c r="M12" s="145"/>
      <c r="N12" s="108" t="s">
        <v>179</v>
      </c>
      <c r="O12" s="104"/>
      <c r="P12" s="104"/>
      <c r="Q12" s="102"/>
      <c r="R12" s="105" t="str">
        <f>VLOOKUP(R11,Code!$B$3:$C$70,2,0)</f>
        <v>RMS</v>
      </c>
      <c r="S12" s="106"/>
      <c r="T12" s="106"/>
      <c r="U12" s="106"/>
      <c r="V12" s="106"/>
      <c r="W12" s="107"/>
      <c r="X12" s="102"/>
    </row>
    <row r="13" spans="3:24" ht="16.5" customHeight="1" x14ac:dyDescent="0.3">
      <c r="C13" s="99" t="s">
        <v>180</v>
      </c>
      <c r="D13" s="104"/>
      <c r="E13" s="104"/>
      <c r="F13" s="102"/>
      <c r="G13" s="90"/>
      <c r="H13" s="91"/>
      <c r="I13" s="91"/>
      <c r="J13" s="91"/>
      <c r="K13" s="91"/>
      <c r="L13" s="92"/>
      <c r="M13" s="146"/>
      <c r="N13" s="108" t="s">
        <v>180</v>
      </c>
      <c r="O13" s="104"/>
      <c r="P13" s="104"/>
      <c r="Q13" s="102"/>
      <c r="R13" s="90" t="s">
        <v>181</v>
      </c>
      <c r="S13" s="91"/>
      <c r="T13" s="91"/>
      <c r="U13" s="91"/>
      <c r="V13" s="91"/>
      <c r="W13" s="92"/>
      <c r="X13" s="89"/>
    </row>
    <row r="14" spans="3:24" x14ac:dyDescent="0.3">
      <c r="C14" s="89" t="s">
        <v>182</v>
      </c>
      <c r="D14" s="89"/>
      <c r="E14" s="89"/>
      <c r="F14" s="89"/>
      <c r="G14" s="90" t="s">
        <v>252</v>
      </c>
      <c r="H14" s="91"/>
      <c r="I14" s="91"/>
      <c r="J14" s="91"/>
      <c r="K14" s="91"/>
      <c r="L14" s="91"/>
      <c r="M14" s="146"/>
      <c r="N14" s="108" t="s">
        <v>182</v>
      </c>
      <c r="O14" s="104"/>
      <c r="P14" s="104"/>
      <c r="Q14" s="102"/>
      <c r="R14" s="126" t="s">
        <v>183</v>
      </c>
      <c r="S14" s="127"/>
      <c r="T14" s="127"/>
      <c r="U14" s="127"/>
      <c r="V14" s="127"/>
      <c r="W14" s="127"/>
      <c r="X14" s="89"/>
    </row>
    <row r="15" spans="3:24" ht="16.5" customHeight="1" x14ac:dyDescent="0.3">
      <c r="C15" s="89" t="s">
        <v>12</v>
      </c>
      <c r="D15" s="89"/>
      <c r="E15" s="89"/>
      <c r="F15" s="89"/>
      <c r="G15" s="90" t="s">
        <v>33</v>
      </c>
      <c r="H15" s="91"/>
      <c r="I15" s="91"/>
      <c r="J15" s="91"/>
      <c r="K15" s="91"/>
      <c r="L15" s="92"/>
      <c r="M15" s="146"/>
      <c r="N15" s="93" t="s">
        <v>12</v>
      </c>
      <c r="O15" s="89"/>
      <c r="P15" s="89"/>
      <c r="Q15" s="89"/>
      <c r="R15" s="90" t="s">
        <v>184</v>
      </c>
      <c r="S15" s="91"/>
      <c r="T15" s="91"/>
      <c r="U15" s="91"/>
      <c r="V15" s="91"/>
      <c r="W15" s="92"/>
      <c r="X15" s="89"/>
    </row>
    <row r="16" spans="3:24" ht="16.5" customHeight="1" x14ac:dyDescent="0.3">
      <c r="C16" s="94" t="s">
        <v>185</v>
      </c>
      <c r="D16" s="95"/>
      <c r="E16" s="95"/>
      <c r="F16" s="95"/>
      <c r="G16" s="95"/>
      <c r="H16" s="95"/>
      <c r="I16" s="95"/>
      <c r="J16" s="95"/>
      <c r="K16" s="95"/>
      <c r="L16" s="96"/>
      <c r="M16" s="147"/>
      <c r="N16" s="97" t="s">
        <v>186</v>
      </c>
      <c r="O16" s="95"/>
      <c r="P16" s="95"/>
      <c r="Q16" s="95"/>
      <c r="R16" s="95"/>
      <c r="S16" s="95"/>
      <c r="T16" s="95"/>
      <c r="U16" s="95"/>
      <c r="V16" s="95"/>
      <c r="W16" s="98"/>
      <c r="X16" s="89"/>
    </row>
    <row r="17" spans="2:24" ht="16.5" customHeight="1" x14ac:dyDescent="0.3">
      <c r="C17" s="15" t="s">
        <v>182</v>
      </c>
      <c r="D17" s="15" t="s">
        <v>187</v>
      </c>
      <c r="E17" s="15" t="s">
        <v>188</v>
      </c>
      <c r="F17" s="15" t="s">
        <v>189</v>
      </c>
      <c r="G17" s="15" t="s">
        <v>190</v>
      </c>
      <c r="H17" s="15" t="s">
        <v>191</v>
      </c>
      <c r="I17" s="15" t="s">
        <v>192</v>
      </c>
      <c r="J17" s="15" t="s">
        <v>159</v>
      </c>
      <c r="K17" s="15" t="s">
        <v>193</v>
      </c>
      <c r="L17" s="26" t="s">
        <v>194</v>
      </c>
      <c r="M17" s="147"/>
      <c r="N17" s="27" t="s">
        <v>182</v>
      </c>
      <c r="O17" s="28" t="s">
        <v>187</v>
      </c>
      <c r="P17" s="28" t="s">
        <v>188</v>
      </c>
      <c r="Q17" s="28" t="s">
        <v>189</v>
      </c>
      <c r="R17" s="28" t="s">
        <v>190</v>
      </c>
      <c r="S17" s="28" t="s">
        <v>191</v>
      </c>
      <c r="T17" s="15" t="s">
        <v>192</v>
      </c>
      <c r="U17" s="28" t="s">
        <v>159</v>
      </c>
      <c r="V17" s="28" t="s">
        <v>193</v>
      </c>
      <c r="W17" s="28" t="s">
        <v>194</v>
      </c>
      <c r="X17" s="103"/>
    </row>
    <row r="18" spans="2:24" s="2" customFormat="1" ht="16.5" customHeight="1" x14ac:dyDescent="0.3">
      <c r="B18" s="2" t="s">
        <v>257</v>
      </c>
      <c r="C18" s="29" t="s">
        <v>253</v>
      </c>
      <c r="D18" s="30"/>
      <c r="E18" s="31"/>
      <c r="F18" s="32"/>
      <c r="G18" s="33"/>
      <c r="H18" s="33"/>
      <c r="I18" s="32"/>
      <c r="J18" s="34"/>
      <c r="K18" s="35"/>
      <c r="L18" s="36"/>
      <c r="M18" s="36"/>
      <c r="N18" s="21"/>
      <c r="O18" s="30"/>
      <c r="P18" s="31"/>
      <c r="Q18" s="32"/>
      <c r="R18" s="33"/>
      <c r="S18" s="33"/>
      <c r="T18" s="32"/>
      <c r="U18" s="34"/>
      <c r="V18" s="35"/>
      <c r="W18" s="37"/>
      <c r="X18" s="38"/>
    </row>
    <row r="19" spans="2:24" ht="16.5" customHeight="1" x14ac:dyDescent="0.3">
      <c r="N19" s="14"/>
      <c r="X19" s="39"/>
    </row>
    <row r="20" spans="2:24" ht="16.5" customHeight="1" x14ac:dyDescent="0.3">
      <c r="C20" s="89" t="s">
        <v>186</v>
      </c>
      <c r="D20" s="89"/>
      <c r="E20" s="89"/>
      <c r="F20" s="89"/>
      <c r="G20" s="89"/>
      <c r="H20" s="89"/>
      <c r="I20" s="89"/>
      <c r="J20" s="89"/>
      <c r="K20" s="89"/>
      <c r="L20" s="99"/>
      <c r="M20" s="148"/>
      <c r="N20" s="93" t="s">
        <v>185</v>
      </c>
      <c r="O20" s="89"/>
      <c r="P20" s="89"/>
      <c r="Q20" s="89"/>
      <c r="R20" s="89"/>
      <c r="S20" s="89"/>
      <c r="T20" s="89"/>
      <c r="U20" s="89"/>
      <c r="V20" s="89"/>
      <c r="W20" s="99"/>
      <c r="X20" s="87" t="s">
        <v>177</v>
      </c>
    </row>
    <row r="21" spans="2:24" ht="16.5" customHeight="1" x14ac:dyDescent="0.3">
      <c r="C21" s="15" t="s">
        <v>182</v>
      </c>
      <c r="D21" s="15" t="s">
        <v>187</v>
      </c>
      <c r="E21" s="15" t="s">
        <v>195</v>
      </c>
      <c r="F21" s="15" t="s">
        <v>189</v>
      </c>
      <c r="G21" s="15" t="s">
        <v>190</v>
      </c>
      <c r="H21" s="15" t="s">
        <v>191</v>
      </c>
      <c r="I21" s="15" t="s">
        <v>192</v>
      </c>
      <c r="J21" s="15" t="s">
        <v>159</v>
      </c>
      <c r="K21" s="15" t="s">
        <v>193</v>
      </c>
      <c r="L21" s="26" t="s">
        <v>194</v>
      </c>
      <c r="M21" s="147"/>
      <c r="N21" s="27" t="s">
        <v>182</v>
      </c>
      <c r="O21" s="28" t="s">
        <v>187</v>
      </c>
      <c r="P21" s="28" t="s">
        <v>188</v>
      </c>
      <c r="Q21" s="28" t="s">
        <v>189</v>
      </c>
      <c r="R21" s="28" t="s">
        <v>190</v>
      </c>
      <c r="S21" s="28" t="s">
        <v>191</v>
      </c>
      <c r="T21" s="15" t="s">
        <v>192</v>
      </c>
      <c r="U21" s="28" t="s">
        <v>159</v>
      </c>
      <c r="V21" s="28" t="s">
        <v>193</v>
      </c>
      <c r="W21" s="28" t="s">
        <v>194</v>
      </c>
      <c r="X21" s="88"/>
    </row>
    <row r="22" spans="2:24" s="1" customFormat="1" ht="16.5" customHeight="1" x14ac:dyDescent="0.3">
      <c r="B22" s="1" t="s">
        <v>258</v>
      </c>
      <c r="C22" s="51" t="s">
        <v>183</v>
      </c>
      <c r="D22" s="52">
        <v>1</v>
      </c>
      <c r="E22" s="40" t="s">
        <v>196</v>
      </c>
      <c r="F22" s="52" t="s">
        <v>197</v>
      </c>
      <c r="G22" s="53" t="s">
        <v>198</v>
      </c>
      <c r="H22" s="54">
        <v>3</v>
      </c>
      <c r="I22" s="52" t="s">
        <v>197</v>
      </c>
      <c r="J22" s="55" t="s">
        <v>199</v>
      </c>
      <c r="K22" s="56"/>
      <c r="L22" s="57"/>
      <c r="M22" s="57" t="s">
        <v>260</v>
      </c>
      <c r="N22" s="58" t="s">
        <v>183</v>
      </c>
      <c r="O22" s="52">
        <v>1</v>
      </c>
      <c r="P22" s="40" t="s">
        <v>196</v>
      </c>
      <c r="Q22" s="52" t="s">
        <v>197</v>
      </c>
      <c r="R22" s="53" t="s">
        <v>198</v>
      </c>
      <c r="S22" s="59">
        <v>3</v>
      </c>
      <c r="T22" s="52" t="s">
        <v>197</v>
      </c>
      <c r="U22" s="55" t="s">
        <v>199</v>
      </c>
      <c r="V22" s="56"/>
      <c r="W22" s="52"/>
      <c r="X22" s="50"/>
    </row>
    <row r="23" spans="2:24" s="1" customFormat="1" ht="16.5" customHeight="1" x14ac:dyDescent="0.3">
      <c r="B23" s="1" t="s">
        <v>258</v>
      </c>
      <c r="C23" s="60"/>
      <c r="D23" s="52">
        <v>2</v>
      </c>
      <c r="E23" s="40" t="s">
        <v>200</v>
      </c>
      <c r="F23" s="52" t="s">
        <v>201</v>
      </c>
      <c r="G23" s="53" t="s">
        <v>198</v>
      </c>
      <c r="H23" s="54">
        <v>120</v>
      </c>
      <c r="I23" s="52" t="s">
        <v>197</v>
      </c>
      <c r="J23" s="55" t="s">
        <v>202</v>
      </c>
      <c r="K23" s="56"/>
      <c r="L23" s="57"/>
      <c r="M23" s="57" t="s">
        <v>260</v>
      </c>
      <c r="N23" s="61"/>
      <c r="O23" s="52">
        <v>2</v>
      </c>
      <c r="P23" s="40" t="s">
        <v>200</v>
      </c>
      <c r="Q23" s="52" t="s">
        <v>201</v>
      </c>
      <c r="R23" s="53" t="s">
        <v>198</v>
      </c>
      <c r="S23" s="59">
        <v>120</v>
      </c>
      <c r="T23" s="52" t="s">
        <v>197</v>
      </c>
      <c r="U23" s="55" t="s">
        <v>202</v>
      </c>
      <c r="V23" s="56"/>
      <c r="W23" s="52"/>
      <c r="X23" s="50"/>
    </row>
    <row r="24" spans="2:24" s="1" customFormat="1" ht="16.5" customHeight="1" x14ac:dyDescent="0.3">
      <c r="B24" s="1" t="s">
        <v>258</v>
      </c>
      <c r="C24" s="60"/>
      <c r="D24" s="52">
        <v>3</v>
      </c>
      <c r="E24" s="40" t="s">
        <v>203</v>
      </c>
      <c r="F24" s="52" t="s">
        <v>201</v>
      </c>
      <c r="G24" s="53" t="s">
        <v>198</v>
      </c>
      <c r="H24" s="54">
        <v>120</v>
      </c>
      <c r="I24" s="52" t="s">
        <v>197</v>
      </c>
      <c r="J24" s="55" t="s">
        <v>204</v>
      </c>
      <c r="K24" s="56"/>
      <c r="L24" s="57"/>
      <c r="M24" s="57" t="s">
        <v>260</v>
      </c>
      <c r="N24" s="61"/>
      <c r="O24" s="52">
        <v>3</v>
      </c>
      <c r="P24" s="40" t="s">
        <v>203</v>
      </c>
      <c r="Q24" s="52" t="s">
        <v>201</v>
      </c>
      <c r="R24" s="53" t="s">
        <v>198</v>
      </c>
      <c r="S24" s="59">
        <v>120</v>
      </c>
      <c r="T24" s="52" t="s">
        <v>197</v>
      </c>
      <c r="U24" s="55" t="s">
        <v>204</v>
      </c>
      <c r="V24" s="56"/>
      <c r="W24" s="52"/>
      <c r="X24" s="50"/>
    </row>
    <row r="25" spans="2:24" s="1" customFormat="1" ht="16.5" customHeight="1" x14ac:dyDescent="0.3">
      <c r="B25" s="1" t="s">
        <v>258</v>
      </c>
      <c r="C25" s="60"/>
      <c r="D25" s="52">
        <v>4</v>
      </c>
      <c r="E25" s="40" t="s">
        <v>205</v>
      </c>
      <c r="F25" s="52"/>
      <c r="G25" s="53" t="s">
        <v>198</v>
      </c>
      <c r="H25" s="54">
        <v>1</v>
      </c>
      <c r="I25" s="52" t="s">
        <v>197</v>
      </c>
      <c r="J25" s="55" t="s">
        <v>206</v>
      </c>
      <c r="K25" s="56"/>
      <c r="L25" s="57"/>
      <c r="M25" s="57" t="s">
        <v>260</v>
      </c>
      <c r="N25" s="61"/>
      <c r="O25" s="52">
        <v>4</v>
      </c>
      <c r="P25" s="40" t="s">
        <v>205</v>
      </c>
      <c r="Q25" s="52"/>
      <c r="R25" s="53" t="s">
        <v>198</v>
      </c>
      <c r="S25" s="59">
        <v>1</v>
      </c>
      <c r="T25" s="52" t="s">
        <v>197</v>
      </c>
      <c r="U25" s="55" t="s">
        <v>206</v>
      </c>
      <c r="V25" s="56"/>
      <c r="W25" s="52"/>
      <c r="X25" s="50"/>
    </row>
    <row r="26" spans="2:24" s="1" customFormat="1" ht="16.5" customHeight="1" x14ac:dyDescent="0.3">
      <c r="B26" s="1" t="s">
        <v>258</v>
      </c>
      <c r="C26" s="60"/>
      <c r="D26" s="52">
        <v>5</v>
      </c>
      <c r="E26" s="40" t="s">
        <v>207</v>
      </c>
      <c r="F26" s="52"/>
      <c r="G26" s="53" t="s">
        <v>198</v>
      </c>
      <c r="H26" s="54">
        <v>3000</v>
      </c>
      <c r="I26" s="52" t="s">
        <v>197</v>
      </c>
      <c r="J26" s="55" t="s">
        <v>208</v>
      </c>
      <c r="K26" s="56"/>
      <c r="L26" s="57"/>
      <c r="M26" s="57" t="s">
        <v>260</v>
      </c>
      <c r="N26" s="61"/>
      <c r="O26" s="52">
        <v>5</v>
      </c>
      <c r="P26" s="40" t="s">
        <v>207</v>
      </c>
      <c r="Q26" s="52"/>
      <c r="R26" s="53" t="s">
        <v>198</v>
      </c>
      <c r="S26" s="59">
        <v>3000</v>
      </c>
      <c r="T26" s="52" t="s">
        <v>197</v>
      </c>
      <c r="U26" s="55" t="s">
        <v>208</v>
      </c>
      <c r="V26" s="56"/>
      <c r="W26" s="52"/>
      <c r="X26" s="50"/>
    </row>
    <row r="27" spans="2:24" s="1" customFormat="1" ht="16.5" customHeight="1" x14ac:dyDescent="0.3">
      <c r="B27" s="1" t="s">
        <v>258</v>
      </c>
      <c r="C27" s="60"/>
      <c r="D27" s="52">
        <v>6</v>
      </c>
      <c r="E27" s="40" t="s">
        <v>209</v>
      </c>
      <c r="F27" s="52"/>
      <c r="G27" s="53" t="s">
        <v>198</v>
      </c>
      <c r="H27" s="54">
        <v>3000</v>
      </c>
      <c r="I27" s="52" t="s">
        <v>197</v>
      </c>
      <c r="J27" s="55" t="s">
        <v>210</v>
      </c>
      <c r="K27" s="56"/>
      <c r="L27" s="57"/>
      <c r="M27" s="57" t="s">
        <v>260</v>
      </c>
      <c r="N27" s="61"/>
      <c r="O27" s="52">
        <v>6</v>
      </c>
      <c r="P27" s="40" t="s">
        <v>209</v>
      </c>
      <c r="Q27" s="52"/>
      <c r="R27" s="53" t="s">
        <v>198</v>
      </c>
      <c r="S27" s="59">
        <v>3000</v>
      </c>
      <c r="T27" s="52" t="s">
        <v>197</v>
      </c>
      <c r="U27" s="55" t="s">
        <v>210</v>
      </c>
      <c r="V27" s="56"/>
      <c r="W27" s="52"/>
      <c r="X27" s="50"/>
    </row>
    <row r="28" spans="2:24" s="1" customFormat="1" ht="16.5" customHeight="1" x14ac:dyDescent="0.3">
      <c r="B28" s="1" t="s">
        <v>258</v>
      </c>
      <c r="C28" s="60"/>
      <c r="D28" s="52">
        <v>7</v>
      </c>
      <c r="E28" s="40" t="s">
        <v>211</v>
      </c>
      <c r="F28" s="52"/>
      <c r="G28" s="53" t="s">
        <v>198</v>
      </c>
      <c r="H28" s="54">
        <v>3000</v>
      </c>
      <c r="I28" s="52" t="s">
        <v>197</v>
      </c>
      <c r="J28" s="55" t="s">
        <v>212</v>
      </c>
      <c r="K28" s="56"/>
      <c r="L28" s="57"/>
      <c r="M28" s="57" t="s">
        <v>260</v>
      </c>
      <c r="N28" s="61"/>
      <c r="O28" s="52">
        <v>7</v>
      </c>
      <c r="P28" s="40" t="s">
        <v>211</v>
      </c>
      <c r="Q28" s="52"/>
      <c r="R28" s="53" t="s">
        <v>198</v>
      </c>
      <c r="S28" s="59">
        <v>3000</v>
      </c>
      <c r="T28" s="52" t="s">
        <v>197</v>
      </c>
      <c r="U28" s="55" t="s">
        <v>212</v>
      </c>
      <c r="V28" s="56"/>
      <c r="W28" s="52"/>
      <c r="X28" s="50"/>
    </row>
    <row r="29" spans="2:24" s="1" customFormat="1" ht="16.5" customHeight="1" x14ac:dyDescent="0.3">
      <c r="B29" s="1" t="s">
        <v>258</v>
      </c>
      <c r="C29" s="60"/>
      <c r="D29" s="52">
        <v>8</v>
      </c>
      <c r="E29" s="40" t="s">
        <v>213</v>
      </c>
      <c r="F29" s="52"/>
      <c r="G29" s="53" t="s">
        <v>198</v>
      </c>
      <c r="H29" s="54">
        <v>3000</v>
      </c>
      <c r="I29" s="52" t="s">
        <v>197</v>
      </c>
      <c r="J29" s="55" t="s">
        <v>214</v>
      </c>
      <c r="K29" s="56"/>
      <c r="L29" s="57"/>
      <c r="M29" s="57" t="s">
        <v>260</v>
      </c>
      <c r="N29" s="61"/>
      <c r="O29" s="52">
        <v>8</v>
      </c>
      <c r="P29" s="40" t="s">
        <v>213</v>
      </c>
      <c r="Q29" s="52"/>
      <c r="R29" s="53" t="s">
        <v>198</v>
      </c>
      <c r="S29" s="59">
        <v>3000</v>
      </c>
      <c r="T29" s="52" t="s">
        <v>197</v>
      </c>
      <c r="U29" s="55" t="s">
        <v>214</v>
      </c>
      <c r="V29" s="56"/>
      <c r="W29" s="52"/>
      <c r="X29" s="50"/>
    </row>
    <row r="30" spans="2:24" s="1" customFormat="1" ht="16.5" customHeight="1" x14ac:dyDescent="0.3">
      <c r="B30" s="1" t="s">
        <v>258</v>
      </c>
      <c r="C30" s="60"/>
      <c r="D30" s="52">
        <v>9</v>
      </c>
      <c r="E30" s="40" t="s">
        <v>215</v>
      </c>
      <c r="F30" s="52"/>
      <c r="G30" s="53" t="s">
        <v>198</v>
      </c>
      <c r="H30" s="54">
        <v>3000</v>
      </c>
      <c r="I30" s="52" t="s">
        <v>197</v>
      </c>
      <c r="J30" s="55" t="s">
        <v>216</v>
      </c>
      <c r="K30" s="56"/>
      <c r="L30" s="57"/>
      <c r="M30" s="57" t="s">
        <v>260</v>
      </c>
      <c r="N30" s="61"/>
      <c r="O30" s="52">
        <v>9</v>
      </c>
      <c r="P30" s="40" t="s">
        <v>215</v>
      </c>
      <c r="Q30" s="52"/>
      <c r="R30" s="53" t="s">
        <v>198</v>
      </c>
      <c r="S30" s="59">
        <v>3000</v>
      </c>
      <c r="T30" s="52" t="s">
        <v>197</v>
      </c>
      <c r="U30" s="55" t="s">
        <v>216</v>
      </c>
      <c r="V30" s="56"/>
      <c r="W30" s="52"/>
      <c r="X30" s="50"/>
    </row>
    <row r="31" spans="2:24" s="1" customFormat="1" ht="16.5" customHeight="1" x14ac:dyDescent="0.3">
      <c r="B31" s="1" t="s">
        <v>258</v>
      </c>
      <c r="C31" s="60"/>
      <c r="D31" s="52">
        <v>10</v>
      </c>
      <c r="E31" s="40" t="s">
        <v>217</v>
      </c>
      <c r="F31" s="52"/>
      <c r="G31" s="53" t="s">
        <v>218</v>
      </c>
      <c r="H31" s="54"/>
      <c r="I31" s="52" t="s">
        <v>197</v>
      </c>
      <c r="J31" s="55" t="s">
        <v>219</v>
      </c>
      <c r="K31" s="56"/>
      <c r="L31" s="57"/>
      <c r="M31" s="57" t="s">
        <v>260</v>
      </c>
      <c r="N31" s="61"/>
      <c r="O31" s="52">
        <v>10</v>
      </c>
      <c r="P31" s="40" t="s">
        <v>217</v>
      </c>
      <c r="Q31" s="52"/>
      <c r="R31" s="53" t="s">
        <v>218</v>
      </c>
      <c r="S31" s="59"/>
      <c r="T31" s="52" t="s">
        <v>197</v>
      </c>
      <c r="U31" s="55" t="s">
        <v>219</v>
      </c>
      <c r="V31" s="56"/>
      <c r="W31" s="52"/>
      <c r="X31" s="50"/>
    </row>
    <row r="32" spans="2:24" s="1" customFormat="1" ht="16.5" customHeight="1" x14ac:dyDescent="0.3">
      <c r="B32" s="1" t="s">
        <v>258</v>
      </c>
      <c r="C32" s="60"/>
      <c r="D32" s="52">
        <v>11</v>
      </c>
      <c r="E32" s="40" t="s">
        <v>220</v>
      </c>
      <c r="F32" s="52"/>
      <c r="G32" s="53" t="s">
        <v>218</v>
      </c>
      <c r="H32" s="54"/>
      <c r="I32" s="52" t="s">
        <v>197</v>
      </c>
      <c r="J32" s="55" t="s">
        <v>221</v>
      </c>
      <c r="K32" s="56"/>
      <c r="L32" s="57"/>
      <c r="M32" s="57" t="s">
        <v>260</v>
      </c>
      <c r="N32" s="61"/>
      <c r="O32" s="52">
        <v>11</v>
      </c>
      <c r="P32" s="40" t="s">
        <v>220</v>
      </c>
      <c r="Q32" s="52"/>
      <c r="R32" s="53" t="s">
        <v>218</v>
      </c>
      <c r="S32" s="59"/>
      <c r="T32" s="52" t="s">
        <v>197</v>
      </c>
      <c r="U32" s="55" t="s">
        <v>221</v>
      </c>
      <c r="V32" s="56"/>
      <c r="W32" s="52"/>
      <c r="X32" s="50"/>
    </row>
    <row r="33" spans="2:24" s="1" customFormat="1" ht="16.5" customHeight="1" x14ac:dyDescent="0.3">
      <c r="B33" s="1" t="s">
        <v>258</v>
      </c>
      <c r="C33" s="62"/>
      <c r="D33" s="52">
        <v>12</v>
      </c>
      <c r="E33" s="63" t="s">
        <v>222</v>
      </c>
      <c r="F33" s="49"/>
      <c r="G33" s="41" t="s">
        <v>223</v>
      </c>
      <c r="H33" s="49">
        <v>1</v>
      </c>
      <c r="I33" s="52" t="s">
        <v>23</v>
      </c>
      <c r="J33" s="42" t="s">
        <v>224</v>
      </c>
      <c r="K33" s="55"/>
      <c r="L33" s="57"/>
      <c r="M33" s="57"/>
      <c r="N33" s="58"/>
      <c r="O33" s="52"/>
      <c r="P33" s="63"/>
      <c r="Q33" s="49"/>
      <c r="R33" s="53"/>
      <c r="S33" s="22"/>
      <c r="T33" s="64"/>
      <c r="U33" s="42"/>
      <c r="V33" s="65"/>
      <c r="W33" s="52"/>
      <c r="X33" s="50"/>
    </row>
    <row r="34" spans="2:24" s="1" customFormat="1" ht="16.5" customHeight="1" x14ac:dyDescent="0.3">
      <c r="B34" s="1" t="s">
        <v>258</v>
      </c>
      <c r="C34" s="62"/>
      <c r="D34" s="52">
        <v>13</v>
      </c>
      <c r="E34" s="50" t="s">
        <v>225</v>
      </c>
      <c r="F34" s="50"/>
      <c r="G34" s="41" t="s">
        <v>223</v>
      </c>
      <c r="H34" s="50">
        <v>36</v>
      </c>
      <c r="I34" s="52" t="s">
        <v>23</v>
      </c>
      <c r="J34" s="42" t="s">
        <v>226</v>
      </c>
      <c r="K34" s="55"/>
      <c r="L34" s="57"/>
      <c r="M34" s="57"/>
      <c r="N34" s="58"/>
      <c r="O34" s="52"/>
      <c r="P34" s="50"/>
      <c r="Q34" s="50"/>
      <c r="R34" s="41"/>
      <c r="S34" s="43"/>
      <c r="T34" s="64"/>
      <c r="U34" s="42"/>
      <c r="V34" s="65"/>
      <c r="W34" s="52"/>
      <c r="X34" s="50"/>
    </row>
    <row r="35" spans="2:24" s="1" customFormat="1" ht="16.5" customHeight="1" x14ac:dyDescent="0.3">
      <c r="B35" s="1" t="s">
        <v>258</v>
      </c>
      <c r="C35" s="62"/>
      <c r="D35" s="52">
        <v>14</v>
      </c>
      <c r="E35" s="50" t="s">
        <v>227</v>
      </c>
      <c r="F35" s="50"/>
      <c r="G35" s="41" t="s">
        <v>228</v>
      </c>
      <c r="H35" s="50"/>
      <c r="I35" s="52" t="s">
        <v>23</v>
      </c>
      <c r="J35" s="42" t="s">
        <v>229</v>
      </c>
      <c r="K35" s="55"/>
      <c r="L35" s="57"/>
      <c r="M35" s="57"/>
      <c r="N35" s="58"/>
      <c r="O35" s="52"/>
      <c r="P35" s="50"/>
      <c r="Q35" s="50"/>
      <c r="R35" s="41"/>
      <c r="S35" s="43"/>
      <c r="T35" s="50"/>
      <c r="U35" s="42"/>
      <c r="V35" s="65"/>
      <c r="W35" s="52"/>
      <c r="X35" s="50"/>
    </row>
    <row r="36" spans="2:24" s="1" customFormat="1" ht="16.5" customHeight="1" x14ac:dyDescent="0.3">
      <c r="C36" s="62"/>
      <c r="D36" s="52"/>
      <c r="E36" s="40"/>
      <c r="F36" s="52"/>
      <c r="G36" s="41"/>
      <c r="H36" s="44"/>
      <c r="I36" s="45"/>
      <c r="J36" s="55"/>
      <c r="K36" s="55"/>
      <c r="L36" s="57"/>
      <c r="M36" s="57"/>
      <c r="N36" s="58"/>
      <c r="O36" s="52"/>
      <c r="P36" s="40"/>
      <c r="Q36" s="52"/>
      <c r="R36" s="41"/>
      <c r="S36" s="44"/>
      <c r="T36" s="45"/>
      <c r="U36" s="55"/>
      <c r="V36" s="65"/>
      <c r="W36" s="52"/>
      <c r="X36" s="50"/>
    </row>
    <row r="37" spans="2:24" s="1" customFormat="1" ht="16.5" customHeight="1" x14ac:dyDescent="0.3">
      <c r="B37" s="1" t="s">
        <v>259</v>
      </c>
      <c r="C37" s="66" t="s">
        <v>230</v>
      </c>
      <c r="D37" s="52">
        <v>1</v>
      </c>
      <c r="E37" s="40" t="s">
        <v>231</v>
      </c>
      <c r="F37" s="52"/>
      <c r="G37" s="41" t="s">
        <v>223</v>
      </c>
      <c r="H37" s="46">
        <v>50</v>
      </c>
      <c r="I37" s="45"/>
      <c r="J37" s="55" t="s">
        <v>232</v>
      </c>
      <c r="K37" s="55"/>
      <c r="L37" s="57"/>
      <c r="M37" s="57"/>
      <c r="N37" s="58"/>
      <c r="O37" s="52"/>
      <c r="P37" s="40"/>
      <c r="Q37" s="52"/>
      <c r="R37" s="41"/>
      <c r="S37" s="44"/>
      <c r="T37" s="45"/>
      <c r="U37" s="55"/>
      <c r="V37" s="65"/>
      <c r="W37" s="52"/>
      <c r="X37" s="50"/>
    </row>
    <row r="38" spans="2:24" s="1" customFormat="1" ht="16.5" customHeight="1" x14ac:dyDescent="0.3">
      <c r="B38" s="1" t="s">
        <v>259</v>
      </c>
      <c r="C38" s="62"/>
      <c r="D38" s="52">
        <v>2</v>
      </c>
      <c r="E38" s="40" t="s">
        <v>233</v>
      </c>
      <c r="F38" s="52"/>
      <c r="G38" s="41" t="s">
        <v>223</v>
      </c>
      <c r="H38" s="46">
        <v>250</v>
      </c>
      <c r="I38" s="45"/>
      <c r="J38" s="55" t="s">
        <v>234</v>
      </c>
      <c r="K38" s="55"/>
      <c r="L38" s="57"/>
      <c r="M38" s="57"/>
      <c r="N38" s="58"/>
      <c r="O38" s="52"/>
      <c r="P38" s="40"/>
      <c r="Q38" s="52"/>
      <c r="R38" s="41"/>
      <c r="S38" s="44"/>
      <c r="T38" s="45"/>
      <c r="U38" s="55"/>
      <c r="V38" s="65"/>
      <c r="W38" s="52"/>
      <c r="X38" s="50"/>
    </row>
    <row r="39" spans="2:24" s="1" customFormat="1" ht="16.5" customHeight="1" x14ac:dyDescent="0.3">
      <c r="B39" s="1" t="s">
        <v>259</v>
      </c>
      <c r="C39" s="62"/>
      <c r="D39" s="52">
        <v>3</v>
      </c>
      <c r="E39" s="40" t="s">
        <v>235</v>
      </c>
      <c r="F39" s="52"/>
      <c r="G39" s="41" t="s">
        <v>223</v>
      </c>
      <c r="H39" s="46">
        <v>250</v>
      </c>
      <c r="I39" s="45"/>
      <c r="J39" s="55" t="s">
        <v>236</v>
      </c>
      <c r="K39" s="55"/>
      <c r="L39" s="57"/>
      <c r="M39" s="57"/>
      <c r="N39" s="58"/>
      <c r="O39" s="52"/>
      <c r="P39" s="40"/>
      <c r="Q39" s="52"/>
      <c r="R39" s="41"/>
      <c r="S39" s="44"/>
      <c r="T39" s="45"/>
      <c r="U39" s="55"/>
      <c r="V39" s="65"/>
      <c r="W39" s="52"/>
      <c r="X39" s="50"/>
    </row>
    <row r="40" spans="2:24" s="1" customFormat="1" ht="16.5" customHeight="1" x14ac:dyDescent="0.3">
      <c r="B40" s="1" t="s">
        <v>259</v>
      </c>
      <c r="C40" s="62"/>
      <c r="D40" s="52">
        <v>4</v>
      </c>
      <c r="E40" s="40" t="s">
        <v>237</v>
      </c>
      <c r="F40" s="52"/>
      <c r="G40" s="41" t="s">
        <v>223</v>
      </c>
      <c r="H40" s="46">
        <v>250</v>
      </c>
      <c r="I40" s="45"/>
      <c r="J40" s="55" t="s">
        <v>238</v>
      </c>
      <c r="K40" s="55"/>
      <c r="L40" s="57"/>
      <c r="M40" s="57"/>
      <c r="N40" s="58"/>
      <c r="O40" s="52"/>
      <c r="P40" s="40"/>
      <c r="Q40" s="52"/>
      <c r="R40" s="41"/>
      <c r="S40" s="44"/>
      <c r="T40" s="45"/>
      <c r="U40" s="55"/>
      <c r="V40" s="65"/>
      <c r="W40" s="52"/>
      <c r="X40" s="50"/>
    </row>
    <row r="41" spans="2:24" s="1" customFormat="1" ht="16.5" customHeight="1" x14ac:dyDescent="0.3">
      <c r="B41" s="1" t="s">
        <v>259</v>
      </c>
      <c r="C41" s="62"/>
      <c r="D41" s="52">
        <v>5</v>
      </c>
      <c r="E41" s="40" t="s">
        <v>239</v>
      </c>
      <c r="F41" s="52"/>
      <c r="G41" s="41" t="s">
        <v>223</v>
      </c>
      <c r="H41" s="46">
        <v>250</v>
      </c>
      <c r="I41" s="45"/>
      <c r="J41" s="55" t="s">
        <v>240</v>
      </c>
      <c r="K41" s="55"/>
      <c r="L41" s="57"/>
      <c r="M41" s="57"/>
      <c r="N41" s="58"/>
      <c r="O41" s="52"/>
      <c r="P41" s="40"/>
      <c r="Q41" s="52"/>
      <c r="R41" s="41"/>
      <c r="S41" s="44"/>
      <c r="T41" s="45"/>
      <c r="U41" s="55"/>
      <c r="V41" s="65"/>
      <c r="W41" s="52"/>
      <c r="X41" s="50"/>
    </row>
    <row r="42" spans="2:24" s="1" customFormat="1" ht="16.5" customHeight="1" x14ac:dyDescent="0.3">
      <c r="B42" s="1" t="s">
        <v>259</v>
      </c>
      <c r="C42" s="62"/>
      <c r="D42" s="52">
        <v>6</v>
      </c>
      <c r="E42" s="40" t="s">
        <v>241</v>
      </c>
      <c r="F42" s="52"/>
      <c r="G42" s="41" t="s">
        <v>223</v>
      </c>
      <c r="H42" s="46" t="s">
        <v>242</v>
      </c>
      <c r="I42" s="45"/>
      <c r="J42" s="55" t="s">
        <v>243</v>
      </c>
      <c r="K42" s="55"/>
      <c r="L42" s="57"/>
      <c r="M42" s="57"/>
      <c r="N42" s="58"/>
      <c r="O42" s="52"/>
      <c r="P42" s="40"/>
      <c r="Q42" s="52"/>
      <c r="R42" s="41"/>
      <c r="S42" s="44"/>
      <c r="T42" s="45"/>
      <c r="U42" s="55"/>
      <c r="V42" s="65"/>
      <c r="W42" s="52"/>
      <c r="X42" s="50"/>
    </row>
    <row r="43" spans="2:24" s="1" customFormat="1" ht="16.5" customHeight="1" x14ac:dyDescent="0.3">
      <c r="B43" s="1" t="s">
        <v>259</v>
      </c>
      <c r="C43" s="62"/>
      <c r="D43" s="52">
        <v>7</v>
      </c>
      <c r="E43" s="40" t="s">
        <v>244</v>
      </c>
      <c r="F43" s="52"/>
      <c r="G43" s="41" t="s">
        <v>223</v>
      </c>
      <c r="H43" s="44">
        <v>100</v>
      </c>
      <c r="I43" s="45"/>
      <c r="J43" s="62" t="s">
        <v>245</v>
      </c>
      <c r="K43" s="55"/>
      <c r="L43" s="57"/>
      <c r="M43" s="57"/>
      <c r="N43" s="58"/>
      <c r="O43" s="52"/>
      <c r="P43" s="40"/>
      <c r="Q43" s="52"/>
      <c r="R43" s="41"/>
      <c r="S43" s="44"/>
      <c r="T43" s="45"/>
      <c r="U43" s="55"/>
      <c r="V43" s="65"/>
      <c r="W43" s="52"/>
      <c r="X43" s="50"/>
    </row>
    <row r="44" spans="2:24" s="1" customFormat="1" ht="16.5" customHeight="1" x14ac:dyDescent="0.3">
      <c r="B44" s="1" t="s">
        <v>259</v>
      </c>
      <c r="C44" s="62"/>
      <c r="D44" s="52">
        <v>8</v>
      </c>
      <c r="E44" s="40" t="s">
        <v>246</v>
      </c>
      <c r="F44" s="52"/>
      <c r="G44" s="41" t="s">
        <v>223</v>
      </c>
      <c r="H44" s="46" t="s">
        <v>242</v>
      </c>
      <c r="I44" s="45"/>
      <c r="J44" s="62" t="s">
        <v>247</v>
      </c>
      <c r="K44" s="55"/>
      <c r="L44" s="57"/>
      <c r="M44" s="57"/>
      <c r="N44" s="58"/>
      <c r="O44" s="52"/>
      <c r="P44" s="40"/>
      <c r="Q44" s="52"/>
      <c r="R44" s="41"/>
      <c r="S44" s="55"/>
      <c r="T44" s="67"/>
      <c r="U44" s="47"/>
      <c r="V44" s="65"/>
      <c r="W44" s="52"/>
      <c r="X44" s="50"/>
    </row>
    <row r="45" spans="2:24" s="1" customFormat="1" ht="16.5" customHeight="1" x14ac:dyDescent="0.3">
      <c r="B45" s="1" t="s">
        <v>259</v>
      </c>
      <c r="C45" s="62"/>
      <c r="D45" s="52">
        <v>9</v>
      </c>
      <c r="E45" s="40" t="s">
        <v>248</v>
      </c>
      <c r="F45" s="52"/>
      <c r="G45" s="41" t="s">
        <v>223</v>
      </c>
      <c r="H45" s="44">
        <v>250</v>
      </c>
      <c r="I45" s="45"/>
      <c r="J45" s="62" t="s">
        <v>249</v>
      </c>
      <c r="K45" s="55"/>
      <c r="L45" s="57"/>
      <c r="M45" s="57"/>
      <c r="N45" s="58"/>
      <c r="O45" s="52"/>
      <c r="P45" s="55"/>
      <c r="Q45" s="52"/>
      <c r="R45" s="65"/>
      <c r="S45" s="65"/>
      <c r="T45" s="67"/>
      <c r="U45" s="55"/>
      <c r="V45" s="65"/>
      <c r="W45" s="52"/>
      <c r="X45" s="50"/>
    </row>
    <row r="46" spans="2:24" s="1" customFormat="1" x14ac:dyDescent="0.3">
      <c r="D46" s="4"/>
      <c r="G46" s="2"/>
      <c r="J46" s="5"/>
      <c r="L46" s="6"/>
      <c r="M46" s="6"/>
      <c r="O46" s="4"/>
      <c r="R46" s="2"/>
      <c r="U46" s="5"/>
      <c r="W46" s="6"/>
    </row>
    <row r="47" spans="2:24" ht="78" customHeight="1" x14ac:dyDescent="0.3">
      <c r="C47" s="48" t="s">
        <v>250</v>
      </c>
      <c r="D47" s="84" t="s">
        <v>254</v>
      </c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6"/>
    </row>
    <row r="48" spans="2:24" ht="183.75" customHeight="1" x14ac:dyDescent="0.3">
      <c r="C48" s="15" t="s">
        <v>255</v>
      </c>
      <c r="D48" s="149" t="s">
        <v>256</v>
      </c>
      <c r="E48" s="150"/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50"/>
      <c r="Q48" s="150"/>
      <c r="R48" s="150"/>
      <c r="S48" s="150"/>
      <c r="T48" s="150"/>
      <c r="U48" s="150"/>
      <c r="V48" s="150"/>
      <c r="W48" s="150"/>
      <c r="X48" s="151"/>
    </row>
  </sheetData>
  <mergeCells count="48">
    <mergeCell ref="D48:X48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  <mergeCell ref="C2:X2"/>
    <mergeCell ref="D3:H3"/>
    <mergeCell ref="I3:J3"/>
    <mergeCell ref="K3:L3"/>
    <mergeCell ref="O3:U3"/>
    <mergeCell ref="W3:X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D47:X47"/>
    <mergeCell ref="X20:X21"/>
    <mergeCell ref="C15:F15"/>
    <mergeCell ref="G15:L15"/>
    <mergeCell ref="N15:Q15"/>
    <mergeCell ref="R15:W15"/>
    <mergeCell ref="C16:L16"/>
    <mergeCell ref="N16:W16"/>
    <mergeCell ref="C20:L20"/>
    <mergeCell ref="N20:W20"/>
  </mergeCells>
  <phoneticPr fontId="2" type="noConversion"/>
  <dataValidations count="2">
    <dataValidation type="list" allowBlank="1" showInputMessage="1" showErrorMessage="1" sqref="T33:T34">
      <formula1>$O$3:$O$4</formula1>
    </dataValidation>
    <dataValidation type="list" allowBlank="1" showInputMessage="1" showErrorMessage="1" sqref="G11:M11">
      <formula1>$C$3:$C$44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Code!$K$3:$K$5</xm:f>
          </x14:formula1>
          <xm:sqref>K4:M4</xm:sqref>
        </x14:dataValidation>
        <x14:dataValidation type="list" allowBlank="1" showInputMessage="1" showErrorMessage="1">
          <x14:formula1>
            <xm:f>Code!$M$3:$M$4</xm:f>
          </x14:formula1>
          <xm:sqref>T36:T45 I36</xm:sqref>
        </x14:dataValidation>
        <x14:dataValidation type="list" allowBlank="1" showInputMessage="1" showErrorMessage="1">
          <x14:formula1>
            <xm:f>Code!$E$3:$E$6</xm:f>
          </x14:formula1>
          <xm:sqref>G15:M15 R15:W15</xm:sqref>
        </x14:dataValidation>
        <x14:dataValidation type="list" allowBlank="1" showInputMessage="1" showErrorMessage="1">
          <x14:formula1>
            <xm:f>Code!$B$3:$B$70</xm:f>
          </x14:formula1>
          <xm:sqref>R11:W11</xm:sqref>
        </x14:dataValidation>
        <x14:dataValidation type="list" allowBlank="1" showInputMessage="1" showErrorMessage="1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I37:I45</xm:sqref>
        </x14:dataValidation>
        <x14:dataValidation type="list" allowBlank="1" showInputMessage="1" showErrorMessage="1">
          <x14:formula1>
            <xm:f>'\\hqfs1\00_ITO 공통\2022_데이터플랫폼 기반 BI 고도화\매핑정의서\COST\[인터페이스_매핑정의서_ECST_BI_MFG_COGS_DETAILS.xlsx]Code'!#REF!</xm:f>
          </x14:formula1>
          <xm:sqref>I18 T18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49066539BC12D4EB853AD73385C4656" ma:contentTypeVersion="14" ma:contentTypeDescription="새 문서를 만듭니다." ma:contentTypeScope="" ma:versionID="f12ef99c849d9a2273e35c4644f499ea">
  <xsd:schema xmlns:xsd="http://www.w3.org/2001/XMLSchema" xmlns:xs="http://www.w3.org/2001/XMLSchema" xmlns:p="http://schemas.microsoft.com/office/2006/metadata/properties" xmlns:ns2="546aa48d-480f-4c7b-808b-798d1e0b2ccb" xmlns:ns3="efe72180-9972-4f46-9c03-3d142a8e36e2" targetNamespace="http://schemas.microsoft.com/office/2006/metadata/properties" ma:root="true" ma:fieldsID="0d285e1e897a13437375191e38453de9" ns2:_="" ns3:_="">
    <xsd:import namespace="546aa48d-480f-4c7b-808b-798d1e0b2ccb"/>
    <xsd:import namespace="efe72180-9972-4f46-9c03-3d142a8e36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aa48d-480f-4c7b-808b-798d1e0b2c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42298063-d94a-4f49-b462-5c240cef7d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e72180-9972-4f46-9c03-3d142a8e36e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e317f2e-4a9a-44dc-9efe-3a3bfc4e8ef4}" ma:internalName="TaxCatchAll" ma:showField="CatchAllData" ma:web="efe72180-9972-4f46-9c03-3d142a8e36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e72180-9972-4f46-9c03-3d142a8e36e2" xsi:nil="true"/>
    <lcf76f155ced4ddcb4097134ff3c332f xmlns="546aa48d-480f-4c7b-808b-798d1e0b2cc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8E1DC6-1C48-4E77-B518-1E15DFC39F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6aa48d-480f-4c7b-808b-798d1e0b2ccb"/>
    <ds:schemaRef ds:uri="efe72180-9972-4f46-9c03-3d142a8e36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322809-5178-442D-946B-96934989F1C3}">
  <ds:schemaRefs>
    <ds:schemaRef ds:uri="http://schemas.microsoft.com/office/2006/metadata/properties"/>
    <ds:schemaRef ds:uri="http://schemas.microsoft.com/office/infopath/2007/PartnerControls"/>
    <ds:schemaRef ds:uri="efe72180-9972-4f46-9c03-3d142a8e36e2"/>
    <ds:schemaRef ds:uri="546aa48d-480f-4c7b-808b-798d1e0b2cc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IF_SRD_DPS_RMS_0012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박현아 (CSPI)</cp:lastModifiedBy>
  <dcterms:modified xsi:type="dcterms:W3CDTF">2022-10-17T01:19:07Z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0x010100149066539BC12D4EB853AD73385C4656</vt:lpwstr>
  </property>
  <property fmtid="{D5CDD505-2E9C-101B-9397-08002B2CF9AE}" pid="4" name="MediaServiceImageTags">
    <vt:lpwstr/>
  </property>
</Properties>
</file>