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-120" yWindow="-120" windowWidth="29040" windowHeight="15720" tabRatio="836" activeTab="2"/>
  </bookViews>
  <sheets>
    <sheet name="변경이력관리" sheetId="2" r:id="rId1"/>
    <sheet name="Code" sheetId="8" state="hidden" r:id="rId2"/>
    <sheet name="IF_SRD_DPS_ERP_0067" sheetId="5" r:id="rId3"/>
  </sheets>
  <externalReferences>
    <externalReference r:id="rId4"/>
  </externalReferences>
  <definedNames>
    <definedName name="_xlnm._FilterDatabase" localSheetId="2" hidden="1">IF_SRD_DPS_ERP_0067!$C$24:$X$43</definedName>
  </definedNames>
  <calcPr calcId="162913"/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5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<sst xmlns="http://schemas.openxmlformats.org/spreadsheetml/2006/main" count="460" uniqueCount="279">
  <si>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</si>
  <si>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</si>
  <si>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</si>
  <si>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</si>
  <si>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</si>
  <si>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</si>
  <si>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</si>
  <si>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</si>
  <si>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</si>
  <si>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</si>
  <si>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</si>
  <si>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</si>
  <si>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</si>
  <si>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</si>
  <si>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</si>
  <si>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</si>
  <si>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</si>
  <si>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</si>
  <si>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</si>
  <si>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</si>
  <si>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</si>
  <si>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</si>
  <si>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</si>
  <si>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</si>
  <si>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</si>
  <si>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</si>
  <si>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</si>
  <si>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</si>
  <si>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</si>
  <si>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</si>
  <si>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</si>
  <si>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</si>
  <si>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</si>
  <si>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</si>
  <si>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</si>
  <si>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</si>
  <si>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</si>
  <si>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</si>
  <si>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</si>
  <si>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</si>
  <si>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</si>
  <si>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</si>
  <si>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</si>
  <si>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</si>
  <si>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</si>
  <si>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</si>
  <si>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</si>
  <si>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</si>
  <si>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</si>
  <si>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</si>
  <si>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</si>
  <si>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</si>
  <si>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</si>
  <si>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</si>
  <si>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</si>
  <si>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</si>
  <si>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</si>
  <si>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</si>
  <si>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</si>
  <si>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</si>
  <si>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</si>
  <si>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</si>
  <si>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</si>
  <si>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</si>
  <si>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</si>
  <si>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</si>
  <si>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</si>
  <si>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</si>
  <si>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</si>
  <si>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</si>
  <si>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</si>
  <si>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</si>
  <si>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</si>
  <si>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</si>
  <si>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</si>
  <si>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</si>
  <si>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</si>
  <si>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</si>
  <si>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</si>
  <si>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</si>
  <si>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</si>
  <si>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</si>
  <si>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</si>
  <si>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</si>
  <si>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</si>
  <si>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</si>
  <si>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</si>
  <si>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</si>
  <si>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</si>
  <si>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</si>
  <si>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</si>
  <si>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</si>
  <si>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</si>
  <si>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</si>
  <si>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</si>
  <si>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</si>
  <si>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</si>
  <si>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</si>
  <si>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</si>
  <si>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</si>
  <si>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</si>
  <si>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</si>
  <si>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</si>
  <si>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</si>
  <si>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</si>
  <si>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</si>
  <si>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</si>
  <si>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</si>
  <si>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</si>
  <si>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</si>
  <si>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</si>
  <si>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</si>
  <si>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</si>
  <si>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</si>
  <si>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</si>
  <si>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</si>
  <si>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</si>
  <si>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</si>
  <si>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</si>
  <si>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</si>
  <si>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</si>
  <si>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</si>
  <si>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</si>
  <si>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</si>
  <si>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</si>
  <si>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</si>
  <si>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</si>
  <si>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</si>
  <si>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</si>
  <si>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</si>
  <si>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</si>
  <si>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</si>
  <si>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</si>
  <si>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</si>
  <si>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</si>
  <si>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</si>
  <si>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</si>
  <si>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</si>
  <si>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</si>
  <si>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</si>
  <si>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</si>
  <si>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</si>
  <si>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</si>
  <si>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</si>
  <si>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</si>
  <si>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</si>
  <si>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</si>
  <si>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</si>
  <si>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</si>
  <si>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</si>
  <si>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</si>
  <si>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</si>
  <si>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</si>
  <si>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</si>
  <si>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</si>
  <si>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</si>
  <si>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</si>
  <si>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</si>
  <si>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</si>
  <si>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</si>
  <si>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</si>
  <si>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</si>
  <si>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</si>
  <si>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</si>
  <si>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</si>
  <si>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</si>
  <si>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</si>
  <si>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</si>
  <si>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</si>
  <si>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</si>
  <si>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</si>
  <si>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</si>
  <si>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</si>
  <si>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</si>
  <si>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</si>
  <si>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</si>
  <si>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</si>
  <si>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</si>
  <si>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</si>
  <si>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</si>
  <si>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</si>
  <si>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</si>
  <si>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</si>
  <si>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</si>
  <si>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</si>
  <si>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</si>
  <si>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</si>
  <si>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</si>
  <si>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</si>
  <si>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</si>
  <si>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NUMBER</t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</si>
  <si>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</si>
  <si>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</si>
  <si>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</si>
  <si>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</si>
  <si>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</si>
  <si>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</si>
  <si>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</si>
  <si>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LAST_UPDATE_LOGIN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</si>
  <si>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</si>
  <si>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</si>
  <si>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</si>
  <si>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</si>
  <si>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</si>
  <si>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</si>
  <si>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</si>
  <si>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VARCHAR2</t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</si>
  <si>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</si>
  <si>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Y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</si>
  <si>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</si>
  <si>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</si>
  <si>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</si>
  <si>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</si>
  <si>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</si>
  <si>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</si>
  <si>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</si>
  <si>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</si>
  <si>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</si>
  <si>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</si>
  <si>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</si>
  <si>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</si>
  <si>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</si>
  <si>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</si>
  <si>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</si>
  <si>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</si>
  <si>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</si>
  <si>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</si>
  <si>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</si>
  <si>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</si>
  <si>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공통 권역 정보(ISO)</t>
    <phoneticPr fontId="2" type="noConversion"/>
  </si>
  <si>
    <t>공통 권역 정보(ISO) Standard</t>
    <phoneticPr fontId="2" type="noConversion"/>
  </si>
  <si>
    <t>공통</t>
    <phoneticPr fontId="2" type="noConversion"/>
  </si>
  <si>
    <t>FND_TERRITORIES</t>
    <phoneticPr fontId="2" type="noConversion"/>
  </si>
  <si>
    <t>TERRITORY_CODE</t>
  </si>
  <si>
    <t>ISO_NUMERIC_CODE</t>
  </si>
  <si>
    <t>ALTERNATE_TERRITORY_CODE</t>
  </si>
  <si>
    <t>ADDRESS_STYLE</t>
  </si>
  <si>
    <t>ADDRESS_VALIDATION</t>
  </si>
  <si>
    <t>BANK_INFO_STYLE</t>
  </si>
  <si>
    <t>BANK_INFO_VALIDATION</t>
  </si>
  <si>
    <t>NLS_TERRITORY</t>
  </si>
  <si>
    <t>EU_CODE</t>
  </si>
  <si>
    <t>ISO_TERRITORY_CODE</t>
  </si>
  <si>
    <t>OBSOLETE_FLAG</t>
  </si>
  <si>
    <t>국가코드</t>
  </si>
  <si>
    <t>최근 수정일</t>
  </si>
  <si>
    <t>최근 수정자</t>
  </si>
  <si>
    <t>생성일</t>
  </si>
  <si>
    <t>생성자</t>
  </si>
  <si>
    <t>최근 수정자 로그인 ID</t>
  </si>
  <si>
    <t>ISO 코드</t>
  </si>
  <si>
    <t>대체 코드</t>
  </si>
  <si>
    <t>주소 관리 유형</t>
  </si>
  <si>
    <t>시스템 상 명명된 국가명</t>
  </si>
  <si>
    <t>EU Code</t>
  </si>
  <si>
    <t>미사용여부</t>
  </si>
  <si>
    <t>ISO 국가코드</t>
  </si>
  <si>
    <t>은행 정보 Validation</t>
    <phoneticPr fontId="2" type="noConversion"/>
  </si>
  <si>
    <t>은행 정보 Style</t>
    <phoneticPr fontId="2" type="noConversion"/>
  </si>
  <si>
    <t>주소 Validation</t>
    <phoneticPr fontId="2" type="noConversion"/>
  </si>
  <si>
    <t>SELECT TERRITORY_CODE,LAST_UPDATE_DATE,LAST_UPDATED_BY,CREATION_DATE,CREATED_BY,LAST_UPDATE_LOGIN,ISO_NUMERIC_CODE,ALTERNATE_TERRITORY_CODE,ADDRESS_STYLE,ADDRESS_VALIDATION,BANK_INFO_STYLE,BANK_INFO_VALIDATION,NLS_TERRITORY,EU_CODE,OBSOLETE_FLAG,ISO_TERRITORY_CODE FROM FND_TERRITORIES</t>
    <phoneticPr fontId="2" type="noConversion"/>
  </si>
  <si>
    <t>REST</t>
    <phoneticPr fontId="2" type="noConversion"/>
  </si>
  <si>
    <t>FND_TERRITORIES</t>
    <phoneticPr fontId="2" type="noConversion"/>
  </si>
  <si>
    <t>IF_SRD_DPS_ERP_0067</t>
    <phoneticPr fontId="2" type="noConversion"/>
  </si>
  <si>
    <t>max</t>
    <phoneticPr fontId="2" type="noConversion"/>
  </si>
  <si>
    <t>FLOAT</t>
    <phoneticPr fontId="2" type="noConversion"/>
  </si>
  <si>
    <t>R1</t>
  </si>
  <si>
    <t>R1</t>
    <phoneticPr fontId="2" type="noConversion"/>
  </si>
  <si>
    <t>R1</t>
    <phoneticPr fontId="2" type="noConversion"/>
  </si>
  <si>
    <t>R2</t>
  </si>
  <si>
    <t>R2</t>
    <phoneticPr fontId="2" type="noConversion"/>
  </si>
  <si>
    <t>R3</t>
  </si>
  <si>
    <t>R3</t>
    <phoneticPr fontId="2" type="noConversion"/>
  </si>
  <si>
    <t>SQL Query
(EAI 사용 쿼리)</t>
  </si>
  <si>
    <t xml:space="preserve"> SELECT /* IF_SRD_DPS_ERP_0067 공통 권역 정보(ISO) FND_TERRITORIES */
 TERRITORY_CODE,
 LAST_UPDATE_DATE,
 TO_CHAR(LAST_UPDATED_BY) LAST_UPDATED_BY,
 CREATION_DATE,
 TO_CHAR(CREATED_BY) CREATED_BY,
 TO_CHAR(LAST_UPDATE_LOGIN) LAST_UPDATE_LOGIN,
 ISO_NUMERIC_CODE,
 ALTERNATE_TERRITORY_CODE,
 ADDRESS_STYLE,
 ADDRESS_VALIDATION,
 BANK_INFO_STYLE,BANK_INFO_VALIDATION,
 NLS_TERRITORY,
 EU_CODE,OBSOLETE_FLAG,
 ISO_TERRITORY_CODE 
FROM APPS.FND_TERRITORIES</t>
    <phoneticPr fontId="2" type="noConversion"/>
  </si>
  <si>
    <t>2022.09.15</t>
    <phoneticPr fontId="2" type="noConversion"/>
  </si>
  <si>
    <t>정주성</t>
    <phoneticPr fontId="2" type="noConversion"/>
  </si>
  <si>
    <t>EAI 쿼리추가</t>
    <phoneticPr fontId="4" type="noConversion"/>
  </si>
  <si>
    <t>S1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</si>
</sst>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24" fillId="2" borderId="34" xfId="0" quotePrefix="1" applyFont="1" applyFill="1" applyBorder="1" applyAlignment="1">
      <alignment horizontal="left" vertical="center" wrapText="1"/>
    </xf>
    <xf numFmtId="0" fontId="9" fillId="0" borderId="34" xfId="0" quotePrefix="1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26" fillId="0" borderId="34" xfId="6" applyFont="1" applyBorder="1" applyAlignment="1">
      <alignment horizontal="left" vertical="center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0" fillId="0" borderId="34" xfId="0" applyBorder="1" applyAlignment="1">
      <alignment horizont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7" fillId="8" borderId="34" xfId="0" applyFont="1" applyFill="1" applyBorder="1" applyAlignment="1">
      <alignment horizontal="left" vertical="center"/>
    </xf>
    <xf numFmtId="0" fontId="29" fillId="0" borderId="34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1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30" fillId="0" borderId="1" xfId="0" applyFont="1" applyBorder="1">
      <alignment vertical="center"/>
    </xf>
    <xf numFmtId="0" fontId="26" fillId="0" borderId="1" xfId="6" applyFont="1" applyBorder="1" applyAlignment="1">
      <alignment horizontal="right" vertical="center"/>
    </xf>
    <xf numFmtId="0" fontId="9" fillId="0" borderId="1" xfId="0" applyFont="1" applyFill="1" applyBorder="1" applyAlignment="1">
      <alignment vertical="center" wrapText="1"/>
    </xf>
    <xf numFmtId="0" fontId="9" fillId="9" borderId="1" xfId="0" quotePrefix="1" applyFont="1" applyFill="1" applyBorder="1" applyAlignment="1">
      <alignment horizontal="left" vertical="center" wrapText="1"/>
    </xf>
    <xf numFmtId="0" fontId="12" fillId="5" borderId="1" xfId="1" applyFont="1" applyFill="1" applyBorder="1" applyAlignment="1">
      <alignment horizontal="center" vertical="center"/>
    </xf>
    <xf numFmtId="0" fontId="12" fillId="5" borderId="28" xfId="1" applyFont="1" applyFill="1" applyBorder="1" applyAlignment="1">
      <alignment horizontal="center" vertical="center"/>
    </xf>
    <xf numFmtId="0" fontId="12" fillId="5" borderId="32" xfId="1" applyFont="1" applyFill="1" applyBorder="1" applyAlignment="1">
      <alignment horizontal="center" vertical="center"/>
    </xf>
    <xf numFmtId="0" fontId="12" fillId="5" borderId="33" xfId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10" borderId="1" xfId="1" applyFont="1" applyFill="1" applyBorder="1" applyAlignment="1">
      <alignment horizontal="left" vertical="top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6" borderId="20" xfId="7" applyFont="1" applyFill="1" applyBorder="1" applyAlignment="1">
      <alignment horizontal="left" vertical="center" wrapText="1"/>
    </xf>
    <xf numFmtId="0" fontId="11" fillId="6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2" sqref="K12:L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8" t="s">
        <v>4</v>
      </c>
      <c r="C5" s="99"/>
      <c r="D5" s="100" t="s">
        <v>5</v>
      </c>
      <c r="E5" s="99"/>
      <c r="F5" s="100" t="s">
        <v>1</v>
      </c>
      <c r="G5" s="101"/>
      <c r="H5" s="101"/>
      <c r="I5" s="101"/>
      <c r="J5" s="99"/>
      <c r="K5" s="100" t="s">
        <v>6</v>
      </c>
      <c r="L5" s="102"/>
      <c r="M5" s="9"/>
      <c r="N5" s="98" t="s">
        <v>4</v>
      </c>
      <c r="O5" s="99"/>
      <c r="P5" s="100" t="s">
        <v>5</v>
      </c>
      <c r="Q5" s="99"/>
      <c r="R5" s="100" t="s">
        <v>1</v>
      </c>
      <c r="S5" s="101"/>
      <c r="T5" s="101"/>
      <c r="U5" s="101"/>
      <c r="V5" s="99"/>
      <c r="W5" s="100" t="s">
        <v>6</v>
      </c>
      <c r="X5" s="102"/>
    </row>
    <row r="6" spans="1:24" x14ac:dyDescent="0.3">
      <c r="A6" s="9"/>
      <c r="B6" s="88"/>
      <c r="C6" s="89"/>
      <c r="D6" s="90"/>
      <c r="E6" s="89"/>
      <c r="F6" s="96" t="s">
        <v>7</v>
      </c>
      <c r="G6" s="92"/>
      <c r="H6" s="92"/>
      <c r="I6" s="92"/>
      <c r="J6" s="93"/>
      <c r="K6" s="90">
        <v>0.1</v>
      </c>
      <c r="L6" s="97"/>
      <c r="M6" s="9"/>
      <c r="N6" s="88" t="s">
        <v>8</v>
      </c>
      <c r="O6" s="89"/>
      <c r="P6" s="90" t="s">
        <v>9</v>
      </c>
      <c r="Q6" s="89"/>
      <c r="R6" s="96" t="s">
        <v>7</v>
      </c>
      <c r="S6" s="92"/>
      <c r="T6" s="92"/>
      <c r="U6" s="92"/>
      <c r="V6" s="93"/>
      <c r="W6" s="90">
        <v>0.1</v>
      </c>
      <c r="X6" s="97"/>
    </row>
    <row r="7" spans="1:24" x14ac:dyDescent="0.3">
      <c r="A7" s="9"/>
      <c r="B7" s="88"/>
      <c r="C7" s="89"/>
      <c r="D7" s="90"/>
      <c r="E7" s="89"/>
      <c r="F7" s="96"/>
      <c r="G7" s="92"/>
      <c r="H7" s="92"/>
      <c r="I7" s="92"/>
      <c r="J7" s="93"/>
      <c r="K7" s="90"/>
      <c r="L7" s="97"/>
      <c r="M7" s="9"/>
      <c r="N7" s="88"/>
      <c r="O7" s="89"/>
      <c r="P7" s="90"/>
      <c r="Q7" s="89"/>
      <c r="R7" s="91"/>
      <c r="S7" s="92"/>
      <c r="T7" s="92"/>
      <c r="U7" s="92"/>
      <c r="V7" s="93"/>
      <c r="W7" s="90"/>
      <c r="X7" s="97"/>
    </row>
    <row r="8" spans="1:24" x14ac:dyDescent="0.3">
      <c r="A8" s="9"/>
      <c r="B8" s="88"/>
      <c r="C8" s="89"/>
      <c r="D8" s="90"/>
      <c r="E8" s="89"/>
      <c r="F8" s="91"/>
      <c r="G8" s="92"/>
      <c r="H8" s="92"/>
      <c r="I8" s="92"/>
      <c r="J8" s="93"/>
      <c r="K8" s="94"/>
      <c r="L8" s="95"/>
      <c r="M8" s="9"/>
      <c r="N8" s="88"/>
      <c r="O8" s="89"/>
      <c r="P8" s="90"/>
      <c r="Q8" s="89"/>
      <c r="R8" s="91"/>
      <c r="S8" s="92"/>
      <c r="T8" s="92"/>
      <c r="U8" s="92"/>
      <c r="V8" s="93"/>
      <c r="W8" s="94"/>
      <c r="X8" s="95"/>
    </row>
    <row r="9" spans="1:24" x14ac:dyDescent="0.3">
      <c r="A9" s="9"/>
      <c r="B9" s="88"/>
      <c r="C9" s="89"/>
      <c r="D9" s="90"/>
      <c r="E9" s="89"/>
      <c r="F9" s="91"/>
      <c r="G9" s="92"/>
      <c r="H9" s="92"/>
      <c r="I9" s="92"/>
      <c r="J9" s="93"/>
      <c r="K9" s="94"/>
      <c r="L9" s="95"/>
      <c r="M9" s="9"/>
      <c r="N9" s="88"/>
      <c r="O9" s="89"/>
      <c r="P9" s="90"/>
      <c r="Q9" s="89"/>
      <c r="R9" s="91"/>
      <c r="S9" s="92"/>
      <c r="T9" s="92"/>
      <c r="U9" s="92"/>
      <c r="V9" s="93"/>
      <c r="W9" s="94"/>
      <c r="X9" s="95"/>
    </row>
    <row r="10" spans="1:24" ht="17.25" thickBot="1" x14ac:dyDescent="0.35"/>
    <row r="11" spans="1:24" x14ac:dyDescent="0.3">
      <c r="B11" s="98" t="s">
        <v>4</v>
      </c>
      <c r="C11" s="99"/>
      <c r="D11" s="100" t="s">
        <v>5</v>
      </c>
      <c r="E11" s="99"/>
      <c r="F11" s="100" t="s">
        <v>1</v>
      </c>
      <c r="G11" s="101"/>
      <c r="H11" s="101"/>
      <c r="I11" s="101"/>
      <c r="J11" s="99"/>
      <c r="K11" s="100" t="s">
        <v>6</v>
      </c>
      <c r="L11" s="102"/>
    </row>
    <row r="12" spans="1:24" x14ac:dyDescent="0.3">
      <c r="B12" s="88" t="s">
        <v>275</v>
      </c>
      <c r="C12" s="89"/>
      <c r="D12" s="90" t="s">
        <v>276</v>
      </c>
      <c r="E12" s="89"/>
      <c r="F12" s="96" t="s">
        <v>277</v>
      </c>
      <c r="G12" s="92"/>
      <c r="H12" s="92"/>
      <c r="I12" s="92"/>
      <c r="J12" s="93"/>
      <c r="K12" s="90">
        <v>0.2</v>
      </c>
      <c r="L12" s="97"/>
    </row>
    <row r="13" spans="1:24" x14ac:dyDescent="0.3">
      <c r="B13" s="88"/>
      <c r="C13" s="89"/>
      <c r="D13" s="90"/>
      <c r="E13" s="89"/>
      <c r="F13" s="96"/>
      <c r="G13" s="92"/>
      <c r="H13" s="92"/>
      <c r="I13" s="92"/>
      <c r="J13" s="93"/>
      <c r="K13" s="90"/>
      <c r="L13" s="97"/>
    </row>
    <row r="14" spans="1:24" x14ac:dyDescent="0.3">
      <c r="B14" s="88"/>
      <c r="C14" s="89"/>
      <c r="D14" s="90"/>
      <c r="E14" s="89"/>
      <c r="F14" s="91"/>
      <c r="G14" s="92"/>
      <c r="H14" s="92"/>
      <c r="I14" s="92"/>
      <c r="J14" s="93"/>
      <c r="K14" s="94"/>
      <c r="L14" s="95"/>
    </row>
    <row r="15" spans="1:24" x14ac:dyDescent="0.3">
      <c r="B15" s="88"/>
      <c r="C15" s="89"/>
      <c r="D15" s="90"/>
      <c r="E15" s="89"/>
      <c r="F15" s="91"/>
      <c r="G15" s="92"/>
      <c r="H15" s="92"/>
      <c r="I15" s="92"/>
      <c r="J15" s="93"/>
      <c r="K15" s="94"/>
      <c r="L15" s="95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58"/>
  <sheetViews>
    <sheetView tabSelected="1" zoomScale="85" zoomScaleNormal="85" workbookViewId="0">
      <selection activeCell="N14" sqref="N14:Q14"/>
    </sheetView>
  </sheetViews>
  <sheetFormatPr defaultColWidth="9" defaultRowHeight="16.5" x14ac:dyDescent="0.3"/>
  <cols>
    <col min="1" max="1" width="9" style="3"/>
    <col min="2" max="2" width="3" style="3" hidden="1" customWidth="1"/>
    <col min="3" max="3" width="31.75" style="3" customWidth="1"/>
    <col min="4" max="4" width="4.375" style="3" bestFit="1" customWidth="1"/>
    <col min="5" max="5" width="30.625" style="3" bestFit="1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61.125" style="3" bestFit="1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9" t="s">
        <v>154</v>
      </c>
      <c r="D2" s="140"/>
      <c r="E2" s="140"/>
      <c r="F2" s="140"/>
      <c r="G2" s="140"/>
      <c r="H2" s="140"/>
      <c r="I2" s="140"/>
      <c r="J2" s="140"/>
      <c r="K2" s="140"/>
      <c r="L2" s="140"/>
      <c r="M2" s="141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</row>
    <row r="3" spans="3:24" ht="16.5" customHeight="1" x14ac:dyDescent="0.3">
      <c r="C3" s="25" t="s">
        <v>155</v>
      </c>
      <c r="D3" s="120" t="s">
        <v>263</v>
      </c>
      <c r="E3" s="121"/>
      <c r="F3" s="121"/>
      <c r="G3" s="121"/>
      <c r="H3" s="122"/>
      <c r="I3" s="142" t="s">
        <v>156</v>
      </c>
      <c r="J3" s="142"/>
      <c r="K3" s="125" t="s">
        <v>229</v>
      </c>
      <c r="L3" s="126"/>
      <c r="M3" s="79"/>
      <c r="N3" s="26" t="s">
        <v>157</v>
      </c>
      <c r="O3" s="127" t="s">
        <v>230</v>
      </c>
      <c r="P3" s="128"/>
      <c r="Q3" s="128"/>
      <c r="R3" s="128"/>
      <c r="S3" s="128"/>
      <c r="T3" s="128"/>
      <c r="U3" s="129"/>
      <c r="V3" s="26" t="s">
        <v>158</v>
      </c>
      <c r="W3" s="143">
        <v>44803</v>
      </c>
      <c r="X3" s="126"/>
    </row>
    <row r="4" spans="3:24" ht="16.5" customHeight="1" x14ac:dyDescent="0.3">
      <c r="C4" s="25" t="s">
        <v>159</v>
      </c>
      <c r="D4" s="120" t="s">
        <v>160</v>
      </c>
      <c r="E4" s="121"/>
      <c r="F4" s="121"/>
      <c r="G4" s="121"/>
      <c r="H4" s="122"/>
      <c r="I4" s="123" t="s">
        <v>15</v>
      </c>
      <c r="J4" s="124"/>
      <c r="K4" s="125" t="s">
        <v>161</v>
      </c>
      <c r="L4" s="126"/>
      <c r="M4" s="79"/>
      <c r="N4" s="26" t="s">
        <v>162</v>
      </c>
      <c r="O4" s="127" t="s">
        <v>163</v>
      </c>
      <c r="P4" s="128"/>
      <c r="Q4" s="128"/>
      <c r="R4" s="128"/>
      <c r="S4" s="128"/>
      <c r="T4" s="128"/>
      <c r="U4" s="129"/>
      <c r="V4" s="26" t="s">
        <v>164</v>
      </c>
      <c r="W4" s="107"/>
      <c r="X4" s="108"/>
    </row>
    <row r="5" spans="3:24" ht="16.5" customHeight="1" x14ac:dyDescent="0.3">
      <c r="C5" s="27" t="s">
        <v>165</v>
      </c>
      <c r="D5" s="130"/>
      <c r="E5" s="131"/>
      <c r="F5" s="131"/>
      <c r="G5" s="131"/>
      <c r="H5" s="132"/>
      <c r="I5" s="133" t="s">
        <v>166</v>
      </c>
      <c r="J5" s="133"/>
      <c r="K5" s="105"/>
      <c r="L5" s="106"/>
      <c r="M5" s="80"/>
      <c r="N5" s="27" t="s">
        <v>167</v>
      </c>
      <c r="O5" s="134"/>
      <c r="P5" s="135"/>
      <c r="Q5" s="135"/>
      <c r="R5" s="135"/>
      <c r="S5" s="135"/>
      <c r="T5" s="135"/>
      <c r="U5" s="136"/>
      <c r="V5" s="27" t="s">
        <v>168</v>
      </c>
      <c r="W5" s="105"/>
      <c r="X5" s="106"/>
    </row>
    <row r="7" spans="3:24" ht="45.75" customHeight="1" x14ac:dyDescent="0.3">
      <c r="C7" s="13" t="s">
        <v>169</v>
      </c>
      <c r="D7" s="116" t="s">
        <v>207</v>
      </c>
      <c r="E7" s="117"/>
      <c r="F7" s="117"/>
      <c r="G7" s="117"/>
      <c r="H7" s="117"/>
      <c r="I7" s="117"/>
      <c r="J7" s="117"/>
      <c r="K7" s="117"/>
      <c r="L7" s="117"/>
      <c r="M7" s="118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9"/>
    </row>
    <row r="8" spans="3:24" ht="27" customHeight="1" x14ac:dyDescent="0.3">
      <c r="C8" s="13" t="s">
        <v>170</v>
      </c>
      <c r="D8" s="116" t="s">
        <v>171</v>
      </c>
      <c r="E8" s="117"/>
      <c r="F8" s="117"/>
      <c r="G8" s="117"/>
      <c r="H8" s="117"/>
      <c r="I8" s="117"/>
      <c r="J8" s="117"/>
      <c r="K8" s="117"/>
      <c r="L8" s="117"/>
      <c r="M8" s="118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9"/>
    </row>
    <row r="10" spans="3:24" ht="38.25" customHeight="1" x14ac:dyDescent="0.3">
      <c r="C10" s="137" t="s">
        <v>172</v>
      </c>
      <c r="D10" s="137"/>
      <c r="E10" s="137"/>
      <c r="F10" s="137"/>
      <c r="G10" s="137"/>
      <c r="H10" s="137"/>
      <c r="I10" s="137"/>
      <c r="J10" s="137"/>
      <c r="K10" s="137"/>
      <c r="L10" s="138"/>
      <c r="M10" s="81"/>
      <c r="N10" s="144" t="s">
        <v>173</v>
      </c>
      <c r="O10" s="137"/>
      <c r="P10" s="137"/>
      <c r="Q10" s="137"/>
      <c r="R10" s="137"/>
      <c r="S10" s="137"/>
      <c r="T10" s="137"/>
      <c r="U10" s="137"/>
      <c r="V10" s="137"/>
      <c r="W10" s="137"/>
      <c r="X10" s="133" t="s">
        <v>174</v>
      </c>
    </row>
    <row r="11" spans="3:24" ht="16.5" customHeight="1" x14ac:dyDescent="0.3">
      <c r="C11" s="146" t="s">
        <v>10</v>
      </c>
      <c r="D11" s="112"/>
      <c r="E11" s="112"/>
      <c r="F11" s="113"/>
      <c r="G11" s="147" t="s">
        <v>175</v>
      </c>
      <c r="H11" s="148"/>
      <c r="I11" s="148"/>
      <c r="J11" s="148"/>
      <c r="K11" s="148"/>
      <c r="L11" s="151"/>
      <c r="M11" s="82"/>
      <c r="N11" s="111" t="s">
        <v>10</v>
      </c>
      <c r="O11" s="112"/>
      <c r="P11" s="112"/>
      <c r="Q11" s="113"/>
      <c r="R11" s="147" t="s">
        <v>44</v>
      </c>
      <c r="S11" s="148"/>
      <c r="T11" s="148"/>
      <c r="U11" s="148"/>
      <c r="V11" s="148"/>
      <c r="W11" s="151"/>
      <c r="X11" s="133"/>
    </row>
    <row r="12" spans="3:24" ht="16.5" customHeight="1" x14ac:dyDescent="0.3">
      <c r="C12" s="146" t="s">
        <v>176</v>
      </c>
      <c r="D12" s="112"/>
      <c r="E12" s="112"/>
      <c r="F12" s="113"/>
      <c r="G12" s="147" t="str">
        <f>VLOOKUP(G11,Code!$B$3:$C$69,2,0)</f>
        <v>DPS</v>
      </c>
      <c r="H12" s="148"/>
      <c r="I12" s="148"/>
      <c r="J12" s="148"/>
      <c r="K12" s="148"/>
      <c r="L12" s="149"/>
      <c r="M12" s="82"/>
      <c r="N12" s="111" t="s">
        <v>176</v>
      </c>
      <c r="O12" s="112"/>
      <c r="P12" s="112"/>
      <c r="Q12" s="113"/>
      <c r="R12" s="147" t="str">
        <f>VLOOKUP(R11,Code!$B$3:$C$69,2,0)</f>
        <v>ERP</v>
      </c>
      <c r="S12" s="148"/>
      <c r="T12" s="148"/>
      <c r="U12" s="148"/>
      <c r="V12" s="148"/>
      <c r="W12" s="149"/>
      <c r="X12" s="113"/>
    </row>
    <row r="13" spans="3:24" ht="16.5" customHeight="1" x14ac:dyDescent="0.3">
      <c r="C13" s="146" t="s">
        <v>177</v>
      </c>
      <c r="D13" s="112"/>
      <c r="E13" s="112"/>
      <c r="F13" s="113"/>
      <c r="G13" s="109"/>
      <c r="H13" s="110"/>
      <c r="I13" s="110"/>
      <c r="J13" s="110"/>
      <c r="K13" s="110"/>
      <c r="L13" s="150"/>
      <c r="M13" s="83"/>
      <c r="N13" s="111" t="s">
        <v>177</v>
      </c>
      <c r="O13" s="112"/>
      <c r="P13" s="112"/>
      <c r="Q13" s="113"/>
      <c r="R13" s="109" t="s">
        <v>231</v>
      </c>
      <c r="S13" s="110"/>
      <c r="T13" s="110"/>
      <c r="U13" s="110"/>
      <c r="V13" s="110"/>
      <c r="W13" s="150"/>
      <c r="X13" s="133"/>
    </row>
    <row r="14" spans="3:24" x14ac:dyDescent="0.3">
      <c r="C14" s="133" t="s">
        <v>178</v>
      </c>
      <c r="D14" s="133"/>
      <c r="E14" s="133"/>
      <c r="F14" s="133"/>
      <c r="G14" s="109" t="s">
        <v>262</v>
      </c>
      <c r="H14" s="110"/>
      <c r="I14" s="110"/>
      <c r="J14" s="110"/>
      <c r="K14" s="110"/>
      <c r="L14" s="110"/>
      <c r="M14" s="83"/>
      <c r="N14" s="111" t="s">
        <v>178</v>
      </c>
      <c r="O14" s="112"/>
      <c r="P14" s="112"/>
      <c r="Q14" s="113"/>
      <c r="R14" s="114" t="s">
        <v>232</v>
      </c>
      <c r="S14" s="115"/>
      <c r="T14" s="115"/>
      <c r="U14" s="115"/>
      <c r="V14" s="115"/>
      <c r="W14" s="115"/>
      <c r="X14" s="133"/>
    </row>
    <row r="15" spans="3:24" ht="16.5" customHeight="1" x14ac:dyDescent="0.3">
      <c r="C15" s="133" t="s">
        <v>12</v>
      </c>
      <c r="D15" s="133"/>
      <c r="E15" s="133"/>
      <c r="F15" s="133"/>
      <c r="G15" s="109" t="s">
        <v>33</v>
      </c>
      <c r="H15" s="110"/>
      <c r="I15" s="110"/>
      <c r="J15" s="110"/>
      <c r="K15" s="110"/>
      <c r="L15" s="150"/>
      <c r="M15" s="83"/>
      <c r="N15" s="162" t="s">
        <v>12</v>
      </c>
      <c r="O15" s="133"/>
      <c r="P15" s="133"/>
      <c r="Q15" s="133"/>
      <c r="R15" s="109" t="s">
        <v>179</v>
      </c>
      <c r="S15" s="110"/>
      <c r="T15" s="110"/>
      <c r="U15" s="110"/>
      <c r="V15" s="110"/>
      <c r="W15" s="150"/>
      <c r="X15" s="133"/>
    </row>
    <row r="16" spans="3:24" ht="16.5" customHeight="1" x14ac:dyDescent="0.3">
      <c r="C16" s="163" t="s">
        <v>180</v>
      </c>
      <c r="D16" s="164"/>
      <c r="E16" s="164"/>
      <c r="F16" s="164"/>
      <c r="G16" s="164"/>
      <c r="H16" s="164"/>
      <c r="I16" s="164"/>
      <c r="J16" s="164"/>
      <c r="K16" s="164"/>
      <c r="L16" s="165"/>
      <c r="M16" s="84"/>
      <c r="N16" s="166" t="s">
        <v>181</v>
      </c>
      <c r="O16" s="164"/>
      <c r="P16" s="164"/>
      <c r="Q16" s="164"/>
      <c r="R16" s="164"/>
      <c r="S16" s="164"/>
      <c r="T16" s="164"/>
      <c r="U16" s="164"/>
      <c r="V16" s="164"/>
      <c r="W16" s="167"/>
      <c r="X16" s="133"/>
    </row>
    <row r="17" spans="2:24" ht="16.5" customHeight="1" x14ac:dyDescent="0.3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8" t="s">
        <v>189</v>
      </c>
      <c r="M17" s="84"/>
      <c r="N17" s="29" t="s">
        <v>178</v>
      </c>
      <c r="O17" s="30" t="s">
        <v>182</v>
      </c>
      <c r="P17" s="30" t="s">
        <v>183</v>
      </c>
      <c r="Q17" s="30" t="s">
        <v>184</v>
      </c>
      <c r="R17" s="30" t="s">
        <v>185</v>
      </c>
      <c r="S17" s="30" t="s">
        <v>186</v>
      </c>
      <c r="T17" s="15" t="s">
        <v>187</v>
      </c>
      <c r="U17" s="30" t="s">
        <v>157</v>
      </c>
      <c r="V17" s="30" t="s">
        <v>188</v>
      </c>
      <c r="W17" s="30" t="s">
        <v>189</v>
      </c>
      <c r="X17" s="145"/>
    </row>
    <row r="18" spans="2:24" s="2" customFormat="1" ht="16.5" customHeight="1" x14ac:dyDescent="0.3">
      <c r="B18" s="2" t="s">
        <v>278</v>
      </c>
      <c r="C18" s="31" t="s">
        <v>261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3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43"/>
      <c r="V19" s="31"/>
      <c r="W19" s="39"/>
      <c r="X19" s="40"/>
    </row>
    <row r="20" spans="2:24" s="2" customFormat="1" ht="16.5" customHeight="1" x14ac:dyDescent="0.3">
      <c r="C20" s="41"/>
      <c r="D20" s="32"/>
      <c r="E20" s="44"/>
      <c r="F20" s="34"/>
      <c r="G20" s="35"/>
      <c r="H20" s="34"/>
      <c r="I20" s="34"/>
      <c r="J20" s="43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133" t="s">
        <v>181</v>
      </c>
      <c r="D23" s="133"/>
      <c r="E23" s="133"/>
      <c r="F23" s="133"/>
      <c r="G23" s="133"/>
      <c r="H23" s="133"/>
      <c r="I23" s="133"/>
      <c r="J23" s="133"/>
      <c r="K23" s="133"/>
      <c r="L23" s="146"/>
      <c r="M23" s="85"/>
      <c r="N23" s="162" t="s">
        <v>180</v>
      </c>
      <c r="O23" s="133"/>
      <c r="P23" s="133"/>
      <c r="Q23" s="133"/>
      <c r="R23" s="133"/>
      <c r="S23" s="133"/>
      <c r="T23" s="133"/>
      <c r="U23" s="133"/>
      <c r="V23" s="133"/>
      <c r="W23" s="146"/>
      <c r="X23" s="160" t="s">
        <v>174</v>
      </c>
    </row>
    <row r="24" spans="2:24" s="78" customFormat="1" ht="16.5" customHeight="1" x14ac:dyDescent="0.3">
      <c r="C24" s="74" t="s">
        <v>178</v>
      </c>
      <c r="D24" s="74" t="s">
        <v>182</v>
      </c>
      <c r="E24" s="74" t="s">
        <v>183</v>
      </c>
      <c r="F24" s="74" t="s">
        <v>184</v>
      </c>
      <c r="G24" s="74" t="s">
        <v>185</v>
      </c>
      <c r="H24" s="74" t="s">
        <v>186</v>
      </c>
      <c r="I24" s="74" t="s">
        <v>187</v>
      </c>
      <c r="J24" s="74" t="s">
        <v>157</v>
      </c>
      <c r="K24" s="74" t="s">
        <v>188</v>
      </c>
      <c r="L24" s="75" t="s">
        <v>189</v>
      </c>
      <c r="M24" s="86"/>
      <c r="N24" s="76" t="s">
        <v>178</v>
      </c>
      <c r="O24" s="77" t="s">
        <v>182</v>
      </c>
      <c r="P24" s="77" t="s">
        <v>183</v>
      </c>
      <c r="Q24" s="77" t="s">
        <v>184</v>
      </c>
      <c r="R24" s="77" t="s">
        <v>185</v>
      </c>
      <c r="S24" s="77" t="s">
        <v>186</v>
      </c>
      <c r="T24" s="74" t="s">
        <v>187</v>
      </c>
      <c r="U24" s="77" t="s">
        <v>157</v>
      </c>
      <c r="V24" s="77" t="s">
        <v>188</v>
      </c>
      <c r="W24" s="77" t="s">
        <v>189</v>
      </c>
      <c r="X24" s="161"/>
    </row>
    <row r="25" spans="2:24" s="1" customFormat="1" ht="16.5" customHeight="1" x14ac:dyDescent="0.3">
      <c r="B25" s="1" t="s">
        <v>267</v>
      </c>
      <c r="C25" s="73" t="s">
        <v>232</v>
      </c>
      <c r="D25" s="39">
        <v>1</v>
      </c>
      <c r="E25" s="47" t="s">
        <v>233</v>
      </c>
      <c r="F25" s="39" t="s">
        <v>208</v>
      </c>
      <c r="G25" s="61" t="s">
        <v>197</v>
      </c>
      <c r="H25" s="48">
        <v>2</v>
      </c>
      <c r="I25" s="34"/>
      <c r="J25" s="64" t="s">
        <v>244</v>
      </c>
      <c r="K25" s="57"/>
      <c r="L25" s="49"/>
      <c r="M25" s="49" t="s">
        <v>272</v>
      </c>
      <c r="N25" s="23" t="s">
        <v>232</v>
      </c>
      <c r="O25" s="39">
        <v>1</v>
      </c>
      <c r="P25" s="47" t="s">
        <v>233</v>
      </c>
      <c r="Q25" s="39" t="s">
        <v>23</v>
      </c>
      <c r="R25" s="61" t="s">
        <v>206</v>
      </c>
      <c r="S25" s="48">
        <v>2</v>
      </c>
      <c r="T25" s="34"/>
      <c r="U25" s="64" t="s">
        <v>244</v>
      </c>
      <c r="V25" s="57"/>
      <c r="W25" s="39"/>
      <c r="X25" s="50"/>
    </row>
    <row r="26" spans="2:24" s="1" customFormat="1" ht="16.5" customHeight="1" x14ac:dyDescent="0.3">
      <c r="B26" s="1" t="s">
        <v>268</v>
      </c>
      <c r="C26" s="66"/>
      <c r="D26" s="59">
        <v>2</v>
      </c>
      <c r="E26" s="60" t="s">
        <v>191</v>
      </c>
      <c r="F26" s="59"/>
      <c r="G26" s="61" t="s">
        <v>192</v>
      </c>
      <c r="H26" s="61"/>
      <c r="I26" s="62"/>
      <c r="J26" s="64" t="s">
        <v>245</v>
      </c>
      <c r="K26" s="65"/>
      <c r="L26" s="49"/>
      <c r="M26" s="49" t="s">
        <v>272</v>
      </c>
      <c r="N26" s="23"/>
      <c r="O26" s="59">
        <v>2</v>
      </c>
      <c r="P26" s="60" t="s">
        <v>191</v>
      </c>
      <c r="Q26" s="59"/>
      <c r="R26" s="61" t="s">
        <v>193</v>
      </c>
      <c r="S26" s="61"/>
      <c r="T26" s="62"/>
      <c r="U26" s="64" t="s">
        <v>245</v>
      </c>
      <c r="V26" s="65"/>
      <c r="W26" s="59"/>
      <c r="X26" s="63"/>
    </row>
    <row r="27" spans="2:24" s="1" customFormat="1" ht="16.5" customHeight="1" x14ac:dyDescent="0.3">
      <c r="B27" s="1" t="s">
        <v>266</v>
      </c>
      <c r="C27" s="66"/>
      <c r="D27" s="39">
        <v>3</v>
      </c>
      <c r="E27" s="60" t="s">
        <v>194</v>
      </c>
      <c r="F27" s="59"/>
      <c r="G27" s="61" t="s">
        <v>265</v>
      </c>
      <c r="H27" s="61"/>
      <c r="I27" s="62"/>
      <c r="J27" s="64" t="s">
        <v>246</v>
      </c>
      <c r="K27" s="65"/>
      <c r="L27" s="49"/>
      <c r="M27" s="49" t="s">
        <v>271</v>
      </c>
      <c r="N27" s="23"/>
      <c r="O27" s="39">
        <v>3</v>
      </c>
      <c r="P27" s="60" t="s">
        <v>194</v>
      </c>
      <c r="Q27" s="59"/>
      <c r="R27" s="61" t="s">
        <v>190</v>
      </c>
      <c r="S27" s="61"/>
      <c r="T27" s="62"/>
      <c r="U27" s="64" t="s">
        <v>246</v>
      </c>
      <c r="V27" s="65"/>
      <c r="W27" s="59"/>
      <c r="X27" s="63"/>
    </row>
    <row r="28" spans="2:24" s="1" customFormat="1" ht="16.5" customHeight="1" x14ac:dyDescent="0.3">
      <c r="B28" s="1" t="s">
        <v>266</v>
      </c>
      <c r="C28" s="66"/>
      <c r="D28" s="59">
        <v>4</v>
      </c>
      <c r="E28" s="60" t="s">
        <v>195</v>
      </c>
      <c r="F28" s="59"/>
      <c r="G28" s="61" t="s">
        <v>192</v>
      </c>
      <c r="H28" s="61"/>
      <c r="I28" s="62"/>
      <c r="J28" s="64" t="s">
        <v>247</v>
      </c>
      <c r="K28" s="65"/>
      <c r="L28" s="49"/>
      <c r="M28" s="49" t="s">
        <v>271</v>
      </c>
      <c r="N28" s="23"/>
      <c r="O28" s="59">
        <v>4</v>
      </c>
      <c r="P28" s="60" t="s">
        <v>195</v>
      </c>
      <c r="Q28" s="59"/>
      <c r="R28" s="61" t="s">
        <v>193</v>
      </c>
      <c r="S28" s="61"/>
      <c r="T28" s="62"/>
      <c r="U28" s="64" t="s">
        <v>247</v>
      </c>
      <c r="V28" s="65"/>
      <c r="W28" s="59"/>
      <c r="X28" s="63"/>
    </row>
    <row r="29" spans="2:24" s="1" customFormat="1" ht="16.5" customHeight="1" x14ac:dyDescent="0.3">
      <c r="B29" s="1" t="s">
        <v>266</v>
      </c>
      <c r="C29" s="66"/>
      <c r="D29" s="39">
        <v>5</v>
      </c>
      <c r="E29" s="60" t="s">
        <v>196</v>
      </c>
      <c r="F29" s="59"/>
      <c r="G29" s="61" t="s">
        <v>265</v>
      </c>
      <c r="H29" s="61"/>
      <c r="I29" s="62"/>
      <c r="J29" s="64" t="s">
        <v>248</v>
      </c>
      <c r="K29" s="65"/>
      <c r="L29" s="49"/>
      <c r="M29" s="49" t="s">
        <v>271</v>
      </c>
      <c r="N29" s="23"/>
      <c r="O29" s="39">
        <v>5</v>
      </c>
      <c r="P29" s="60" t="s">
        <v>196</v>
      </c>
      <c r="Q29" s="59"/>
      <c r="R29" s="61" t="s">
        <v>190</v>
      </c>
      <c r="S29" s="61"/>
      <c r="T29" s="62"/>
      <c r="U29" s="64" t="s">
        <v>248</v>
      </c>
      <c r="V29" s="65"/>
      <c r="W29" s="59"/>
      <c r="X29" s="63"/>
    </row>
    <row r="30" spans="2:24" s="1" customFormat="1" ht="16.5" customHeight="1" x14ac:dyDescent="0.3">
      <c r="B30" s="1" t="s">
        <v>266</v>
      </c>
      <c r="C30" s="66"/>
      <c r="D30" s="59">
        <v>6</v>
      </c>
      <c r="E30" s="60" t="s">
        <v>198</v>
      </c>
      <c r="F30" s="59"/>
      <c r="G30" s="61" t="s">
        <v>265</v>
      </c>
      <c r="H30" s="61"/>
      <c r="I30" s="62"/>
      <c r="J30" s="64" t="s">
        <v>249</v>
      </c>
      <c r="K30" s="65"/>
      <c r="L30" s="49"/>
      <c r="M30" s="49" t="s">
        <v>271</v>
      </c>
      <c r="N30" s="23"/>
      <c r="O30" s="59">
        <v>6</v>
      </c>
      <c r="P30" s="60" t="s">
        <v>198</v>
      </c>
      <c r="Q30" s="59"/>
      <c r="R30" s="61" t="s">
        <v>190</v>
      </c>
      <c r="S30" s="61"/>
      <c r="T30" s="62"/>
      <c r="U30" s="64" t="s">
        <v>249</v>
      </c>
      <c r="V30" s="65"/>
      <c r="W30" s="59"/>
      <c r="X30" s="63"/>
    </row>
    <row r="31" spans="2:24" s="1" customFormat="1" ht="16.5" customHeight="1" x14ac:dyDescent="0.3">
      <c r="B31" s="1" t="s">
        <v>266</v>
      </c>
      <c r="C31" s="66"/>
      <c r="D31" s="39">
        <v>7</v>
      </c>
      <c r="E31" s="60" t="s">
        <v>234</v>
      </c>
      <c r="F31" s="59"/>
      <c r="G31" s="61" t="s">
        <v>197</v>
      </c>
      <c r="H31" s="61">
        <v>3</v>
      </c>
      <c r="I31" s="62"/>
      <c r="J31" s="64" t="s">
        <v>250</v>
      </c>
      <c r="K31" s="65"/>
      <c r="L31" s="49"/>
      <c r="M31" s="49" t="s">
        <v>271</v>
      </c>
      <c r="N31" s="23"/>
      <c r="O31" s="39">
        <v>7</v>
      </c>
      <c r="P31" s="60" t="s">
        <v>234</v>
      </c>
      <c r="Q31" s="59"/>
      <c r="R31" s="61" t="s">
        <v>206</v>
      </c>
      <c r="S31" s="61">
        <v>3</v>
      </c>
      <c r="T31" s="62"/>
      <c r="U31" s="64" t="s">
        <v>250</v>
      </c>
      <c r="V31" s="65"/>
      <c r="W31" s="59"/>
      <c r="X31" s="63"/>
    </row>
    <row r="32" spans="2:24" s="1" customFormat="1" ht="16.5" customHeight="1" x14ac:dyDescent="0.3">
      <c r="B32" s="1" t="s">
        <v>266</v>
      </c>
      <c r="C32" s="66"/>
      <c r="D32" s="59">
        <v>8</v>
      </c>
      <c r="E32" s="60" t="s">
        <v>235</v>
      </c>
      <c r="F32" s="59"/>
      <c r="G32" s="61" t="s">
        <v>197</v>
      </c>
      <c r="H32" s="61">
        <v>30</v>
      </c>
      <c r="I32" s="62"/>
      <c r="J32" s="64" t="s">
        <v>251</v>
      </c>
      <c r="K32" s="65"/>
      <c r="L32" s="49"/>
      <c r="M32" s="49" t="s">
        <v>271</v>
      </c>
      <c r="N32" s="23"/>
      <c r="O32" s="59">
        <v>8</v>
      </c>
      <c r="P32" s="60" t="s">
        <v>235</v>
      </c>
      <c r="Q32" s="59"/>
      <c r="R32" s="61" t="s">
        <v>206</v>
      </c>
      <c r="S32" s="61">
        <v>30</v>
      </c>
      <c r="T32" s="62"/>
      <c r="U32" s="64" t="s">
        <v>251</v>
      </c>
      <c r="V32" s="65"/>
      <c r="W32" s="59"/>
      <c r="X32" s="63"/>
    </row>
    <row r="33" spans="2:24" s="1" customFormat="1" ht="16.5" customHeight="1" x14ac:dyDescent="0.3">
      <c r="B33" s="1" t="s">
        <v>266</v>
      </c>
      <c r="C33" s="66"/>
      <c r="D33" s="39">
        <v>9</v>
      </c>
      <c r="E33" s="60" t="s">
        <v>236</v>
      </c>
      <c r="F33" s="59"/>
      <c r="G33" s="61" t="s">
        <v>197</v>
      </c>
      <c r="H33" s="61">
        <v>30</v>
      </c>
      <c r="I33" s="62"/>
      <c r="J33" s="64" t="s">
        <v>252</v>
      </c>
      <c r="K33" s="65"/>
      <c r="L33" s="49"/>
      <c r="M33" s="49" t="s">
        <v>271</v>
      </c>
      <c r="N33" s="23"/>
      <c r="O33" s="39">
        <v>9</v>
      </c>
      <c r="P33" s="60" t="s">
        <v>236</v>
      </c>
      <c r="Q33" s="59"/>
      <c r="R33" s="61" t="s">
        <v>206</v>
      </c>
      <c r="S33" s="61">
        <v>30</v>
      </c>
      <c r="T33" s="62"/>
      <c r="U33" s="64" t="s">
        <v>252</v>
      </c>
      <c r="V33" s="65"/>
      <c r="W33" s="59"/>
      <c r="X33" s="63"/>
    </row>
    <row r="34" spans="2:24" s="1" customFormat="1" ht="16.5" customHeight="1" x14ac:dyDescent="0.3">
      <c r="B34" s="1" t="s">
        <v>266</v>
      </c>
      <c r="C34" s="66"/>
      <c r="D34" s="59">
        <v>10</v>
      </c>
      <c r="E34" s="60" t="s">
        <v>237</v>
      </c>
      <c r="F34" s="59"/>
      <c r="G34" s="61" t="s">
        <v>197</v>
      </c>
      <c r="H34" s="61">
        <v>30</v>
      </c>
      <c r="I34" s="62"/>
      <c r="J34" s="64" t="s">
        <v>259</v>
      </c>
      <c r="K34" s="65"/>
      <c r="L34" s="49"/>
      <c r="M34" s="49" t="s">
        <v>271</v>
      </c>
      <c r="N34" s="23"/>
      <c r="O34" s="59">
        <v>10</v>
      </c>
      <c r="P34" s="60" t="s">
        <v>237</v>
      </c>
      <c r="Q34" s="59"/>
      <c r="R34" s="61" t="s">
        <v>206</v>
      </c>
      <c r="S34" s="61">
        <v>30</v>
      </c>
      <c r="T34" s="62"/>
      <c r="U34" s="64" t="s">
        <v>259</v>
      </c>
      <c r="V34" s="65"/>
      <c r="W34" s="59"/>
      <c r="X34" s="63"/>
    </row>
    <row r="35" spans="2:24" s="1" customFormat="1" ht="16.5" customHeight="1" x14ac:dyDescent="0.3">
      <c r="B35" s="1" t="s">
        <v>266</v>
      </c>
      <c r="C35" s="66"/>
      <c r="D35" s="39">
        <v>11</v>
      </c>
      <c r="E35" s="60" t="s">
        <v>238</v>
      </c>
      <c r="F35" s="59"/>
      <c r="G35" s="61" t="s">
        <v>197</v>
      </c>
      <c r="H35" s="61">
        <v>30</v>
      </c>
      <c r="I35" s="62"/>
      <c r="J35" s="64" t="s">
        <v>258</v>
      </c>
      <c r="K35" s="65"/>
      <c r="L35" s="49"/>
      <c r="M35" s="49" t="s">
        <v>271</v>
      </c>
      <c r="N35" s="23"/>
      <c r="O35" s="39">
        <v>11</v>
      </c>
      <c r="P35" s="60" t="s">
        <v>238</v>
      </c>
      <c r="Q35" s="59"/>
      <c r="R35" s="61" t="s">
        <v>206</v>
      </c>
      <c r="S35" s="61">
        <v>30</v>
      </c>
      <c r="T35" s="62"/>
      <c r="U35" s="64" t="s">
        <v>258</v>
      </c>
      <c r="V35" s="65"/>
      <c r="W35" s="59"/>
      <c r="X35" s="63"/>
    </row>
    <row r="36" spans="2:24" s="1" customFormat="1" ht="16.5" customHeight="1" x14ac:dyDescent="0.3">
      <c r="B36" s="1" t="s">
        <v>266</v>
      </c>
      <c r="C36" s="66"/>
      <c r="D36" s="59">
        <v>12</v>
      </c>
      <c r="E36" s="60" t="s">
        <v>239</v>
      </c>
      <c r="F36" s="59"/>
      <c r="G36" s="61" t="s">
        <v>197</v>
      </c>
      <c r="H36" s="61">
        <v>30</v>
      </c>
      <c r="I36" s="62"/>
      <c r="J36" s="64" t="s">
        <v>257</v>
      </c>
      <c r="K36" s="65"/>
      <c r="L36" s="49"/>
      <c r="M36" s="49" t="s">
        <v>271</v>
      </c>
      <c r="N36" s="23"/>
      <c r="O36" s="59">
        <v>12</v>
      </c>
      <c r="P36" s="60" t="s">
        <v>239</v>
      </c>
      <c r="Q36" s="59"/>
      <c r="R36" s="61" t="s">
        <v>206</v>
      </c>
      <c r="S36" s="61">
        <v>30</v>
      </c>
      <c r="T36" s="62"/>
      <c r="U36" s="64" t="s">
        <v>257</v>
      </c>
      <c r="V36" s="65"/>
      <c r="W36" s="59"/>
      <c r="X36" s="63"/>
    </row>
    <row r="37" spans="2:24" s="1" customFormat="1" ht="16.5" customHeight="1" x14ac:dyDescent="0.3">
      <c r="B37" s="1" t="s">
        <v>266</v>
      </c>
      <c r="C37" s="66"/>
      <c r="D37" s="39">
        <v>13</v>
      </c>
      <c r="E37" s="60" t="s">
        <v>240</v>
      </c>
      <c r="F37" s="59"/>
      <c r="G37" s="61" t="s">
        <v>197</v>
      </c>
      <c r="H37" s="61">
        <v>30</v>
      </c>
      <c r="I37" s="62"/>
      <c r="J37" s="64" t="s">
        <v>253</v>
      </c>
      <c r="K37" s="65"/>
      <c r="L37" s="49"/>
      <c r="M37" s="49" t="s">
        <v>271</v>
      </c>
      <c r="N37" s="23"/>
      <c r="O37" s="39">
        <v>13</v>
      </c>
      <c r="P37" s="60" t="s">
        <v>240</v>
      </c>
      <c r="Q37" s="59"/>
      <c r="R37" s="61" t="s">
        <v>206</v>
      </c>
      <c r="S37" s="61">
        <v>30</v>
      </c>
      <c r="T37" s="62"/>
      <c r="U37" s="64" t="s">
        <v>253</v>
      </c>
      <c r="V37" s="65"/>
      <c r="W37" s="59"/>
      <c r="X37" s="63"/>
    </row>
    <row r="38" spans="2:24" s="1" customFormat="1" ht="16.5" customHeight="1" x14ac:dyDescent="0.3">
      <c r="B38" s="1" t="s">
        <v>266</v>
      </c>
      <c r="C38" s="66"/>
      <c r="D38" s="39">
        <v>14</v>
      </c>
      <c r="E38" s="60" t="s">
        <v>241</v>
      </c>
      <c r="F38" s="59"/>
      <c r="G38" s="61" t="s">
        <v>197</v>
      </c>
      <c r="H38" s="61">
        <v>3</v>
      </c>
      <c r="I38" s="62"/>
      <c r="J38" s="64" t="s">
        <v>254</v>
      </c>
      <c r="K38" s="65"/>
      <c r="L38" s="49"/>
      <c r="M38" s="49" t="s">
        <v>271</v>
      </c>
      <c r="N38" s="23"/>
      <c r="O38" s="39">
        <v>14</v>
      </c>
      <c r="P38" s="60" t="s">
        <v>241</v>
      </c>
      <c r="Q38" s="59"/>
      <c r="R38" s="61" t="s">
        <v>206</v>
      </c>
      <c r="S38" s="61">
        <v>3</v>
      </c>
      <c r="T38" s="62"/>
      <c r="U38" s="64" t="s">
        <v>254</v>
      </c>
      <c r="V38" s="65"/>
      <c r="W38" s="59"/>
      <c r="X38" s="63"/>
    </row>
    <row r="39" spans="2:24" s="1" customFormat="1" ht="16.5" customHeight="1" x14ac:dyDescent="0.3">
      <c r="B39" s="1" t="s">
        <v>266</v>
      </c>
      <c r="C39" s="66"/>
      <c r="D39" s="59">
        <v>15</v>
      </c>
      <c r="E39" s="60" t="s">
        <v>243</v>
      </c>
      <c r="F39" s="59"/>
      <c r="G39" s="61" t="s">
        <v>197</v>
      </c>
      <c r="H39" s="61">
        <v>1</v>
      </c>
      <c r="I39" s="62"/>
      <c r="J39" s="64" t="s">
        <v>255</v>
      </c>
      <c r="K39" s="65"/>
      <c r="L39" s="49"/>
      <c r="M39" s="49" t="s">
        <v>271</v>
      </c>
      <c r="N39" s="23"/>
      <c r="O39" s="59">
        <v>15</v>
      </c>
      <c r="P39" s="60" t="s">
        <v>243</v>
      </c>
      <c r="Q39" s="59"/>
      <c r="R39" s="61" t="s">
        <v>206</v>
      </c>
      <c r="S39" s="61">
        <v>1</v>
      </c>
      <c r="T39" s="62"/>
      <c r="U39" s="64" t="s">
        <v>255</v>
      </c>
      <c r="V39" s="65"/>
      <c r="W39" s="59"/>
      <c r="X39" s="63"/>
    </row>
    <row r="40" spans="2:24" s="1" customFormat="1" ht="16.5" customHeight="1" x14ac:dyDescent="0.3">
      <c r="B40" s="1" t="s">
        <v>266</v>
      </c>
      <c r="C40" s="66"/>
      <c r="D40" s="39">
        <v>16</v>
      </c>
      <c r="E40" s="60" t="s">
        <v>242</v>
      </c>
      <c r="F40" s="59"/>
      <c r="G40" s="61" t="s">
        <v>197</v>
      </c>
      <c r="H40" s="61">
        <v>3</v>
      </c>
      <c r="I40" s="62"/>
      <c r="J40" s="64" t="s">
        <v>256</v>
      </c>
      <c r="K40" s="65"/>
      <c r="L40" s="49"/>
      <c r="M40" s="49" t="s">
        <v>271</v>
      </c>
      <c r="N40" s="23"/>
      <c r="O40" s="39">
        <v>16</v>
      </c>
      <c r="P40" s="60" t="s">
        <v>242</v>
      </c>
      <c r="Q40" s="59"/>
      <c r="R40" s="61" t="s">
        <v>206</v>
      </c>
      <c r="S40" s="61">
        <v>3</v>
      </c>
      <c r="T40" s="62"/>
      <c r="U40" s="64" t="s">
        <v>256</v>
      </c>
      <c r="V40" s="65"/>
      <c r="W40" s="59"/>
      <c r="X40" s="63"/>
    </row>
    <row r="41" spans="2:24" s="1" customFormat="1" ht="16.5" customHeight="1" x14ac:dyDescent="0.3">
      <c r="B41" s="1" t="s">
        <v>266</v>
      </c>
      <c r="C41" s="58"/>
      <c r="D41" s="39">
        <v>17</v>
      </c>
      <c r="E41" t="s">
        <v>199</v>
      </c>
      <c r="F41" s="22"/>
      <c r="G41" s="48" t="s">
        <v>197</v>
      </c>
      <c r="H41" s="24">
        <v>1</v>
      </c>
      <c r="I41" s="52"/>
      <c r="J41" s="53" t="s">
        <v>200</v>
      </c>
      <c r="K41" s="35"/>
      <c r="L41" s="49"/>
      <c r="M41" s="49"/>
      <c r="N41" s="21"/>
      <c r="O41" s="59"/>
      <c r="P41"/>
      <c r="Q41" s="22"/>
      <c r="R41" s="48"/>
      <c r="S41" s="24"/>
      <c r="T41" s="52"/>
      <c r="U41" s="53"/>
      <c r="V41" s="40"/>
      <c r="W41" s="39"/>
      <c r="X41" s="50"/>
    </row>
    <row r="42" spans="2:24" s="1" customFormat="1" ht="16.5" customHeight="1" x14ac:dyDescent="0.3">
      <c r="B42" s="1" t="s">
        <v>266</v>
      </c>
      <c r="C42" s="58"/>
      <c r="D42" s="59">
        <v>18</v>
      </c>
      <c r="E42" s="50" t="s">
        <v>201</v>
      </c>
      <c r="F42" s="50"/>
      <c r="G42" s="48" t="s">
        <v>197</v>
      </c>
      <c r="H42" s="54">
        <v>36</v>
      </c>
      <c r="I42" s="52"/>
      <c r="J42" s="53" t="s">
        <v>202</v>
      </c>
      <c r="K42" s="35"/>
      <c r="L42" s="49"/>
      <c r="M42" s="49"/>
      <c r="N42" s="21"/>
      <c r="O42" s="39"/>
      <c r="P42" s="50"/>
      <c r="Q42" s="50"/>
      <c r="R42" s="48"/>
      <c r="S42" s="54"/>
      <c r="T42" s="52"/>
      <c r="U42" s="53"/>
      <c r="V42" s="40"/>
      <c r="W42" s="39"/>
      <c r="X42" s="50"/>
    </row>
    <row r="43" spans="2:24" s="1" customFormat="1" ht="16.5" customHeight="1" x14ac:dyDescent="0.3">
      <c r="B43" s="1" t="s">
        <v>266</v>
      </c>
      <c r="C43" s="58"/>
      <c r="D43" s="39">
        <v>19</v>
      </c>
      <c r="E43" s="50" t="s">
        <v>203</v>
      </c>
      <c r="F43" s="50"/>
      <c r="G43" s="48" t="s">
        <v>192</v>
      </c>
      <c r="H43" s="54"/>
      <c r="I43" s="50"/>
      <c r="J43" s="53" t="s">
        <v>204</v>
      </c>
      <c r="K43" s="35"/>
      <c r="L43" s="49"/>
      <c r="M43" s="49"/>
      <c r="N43" s="21"/>
      <c r="O43" s="59"/>
      <c r="P43" s="50"/>
      <c r="Q43" s="50"/>
      <c r="R43" s="48"/>
      <c r="S43" s="54"/>
      <c r="T43" s="50"/>
      <c r="U43" s="53"/>
      <c r="V43" s="40"/>
      <c r="W43" s="39"/>
      <c r="X43" s="50"/>
    </row>
    <row r="44" spans="2:24" s="1" customFormat="1" ht="16.5" customHeight="1" x14ac:dyDescent="0.3">
      <c r="C44" s="58"/>
      <c r="D44" s="39"/>
      <c r="E44" s="47"/>
      <c r="F44" s="39"/>
      <c r="G44" s="48"/>
      <c r="H44" s="55"/>
      <c r="I44" s="51"/>
      <c r="J44" s="35"/>
      <c r="K44" s="35"/>
      <c r="L44" s="49"/>
      <c r="M44" s="49"/>
      <c r="N44" s="21"/>
      <c r="O44" s="39"/>
      <c r="P44" s="47"/>
      <c r="Q44" s="39"/>
      <c r="R44" s="48"/>
      <c r="S44" s="55"/>
      <c r="T44" s="51"/>
      <c r="U44" s="35"/>
      <c r="V44" s="40"/>
      <c r="W44" s="39"/>
      <c r="X44" s="50"/>
    </row>
    <row r="45" spans="2:24" s="1" customFormat="1" ht="16.5" customHeight="1" x14ac:dyDescent="0.3">
      <c r="B45" s="1" t="s">
        <v>270</v>
      </c>
      <c r="C45" s="70" t="s">
        <v>209</v>
      </c>
      <c r="D45" s="59">
        <v>1</v>
      </c>
      <c r="E45" s="60" t="s">
        <v>210</v>
      </c>
      <c r="F45" s="59"/>
      <c r="G45" s="61" t="s">
        <v>197</v>
      </c>
      <c r="H45" s="71">
        <v>50</v>
      </c>
      <c r="I45" s="68"/>
      <c r="J45" s="64" t="s">
        <v>211</v>
      </c>
      <c r="K45" s="64"/>
      <c r="L45" s="49"/>
      <c r="M45" s="49"/>
      <c r="N45" s="21"/>
      <c r="O45" s="59"/>
      <c r="P45" s="60"/>
      <c r="Q45" s="59"/>
      <c r="R45" s="61"/>
      <c r="S45" s="67"/>
      <c r="T45" s="68"/>
      <c r="U45" s="64"/>
      <c r="V45" s="69"/>
      <c r="W45" s="59"/>
      <c r="X45" s="63"/>
    </row>
    <row r="46" spans="2:24" s="1" customFormat="1" ht="16.5" customHeight="1" x14ac:dyDescent="0.3">
      <c r="B46" s="1" t="s">
        <v>270</v>
      </c>
      <c r="C46" s="58"/>
      <c r="D46" s="59">
        <v>2</v>
      </c>
      <c r="E46" s="60" t="s">
        <v>212</v>
      </c>
      <c r="F46" s="59"/>
      <c r="G46" s="61" t="s">
        <v>197</v>
      </c>
      <c r="H46" s="71">
        <v>250</v>
      </c>
      <c r="I46" s="68"/>
      <c r="J46" s="64" t="s">
        <v>213</v>
      </c>
      <c r="K46" s="64"/>
      <c r="L46" s="49"/>
      <c r="M46" s="49"/>
      <c r="N46" s="21"/>
      <c r="O46" s="59"/>
      <c r="P46" s="60"/>
      <c r="Q46" s="59"/>
      <c r="R46" s="61"/>
      <c r="S46" s="67"/>
      <c r="T46" s="68"/>
      <c r="U46" s="64"/>
      <c r="V46" s="69"/>
      <c r="W46" s="59"/>
      <c r="X46" s="63"/>
    </row>
    <row r="47" spans="2:24" s="1" customFormat="1" ht="16.5" customHeight="1" x14ac:dyDescent="0.3">
      <c r="B47" s="1" t="s">
        <v>269</v>
      </c>
      <c r="C47" s="58"/>
      <c r="D47" s="59">
        <v>3</v>
      </c>
      <c r="E47" s="60" t="s">
        <v>214</v>
      </c>
      <c r="F47" s="59"/>
      <c r="G47" s="61" t="s">
        <v>197</v>
      </c>
      <c r="H47" s="71">
        <v>250</v>
      </c>
      <c r="I47" s="68"/>
      <c r="J47" s="64" t="s">
        <v>215</v>
      </c>
      <c r="K47" s="64"/>
      <c r="L47" s="49"/>
      <c r="M47" s="49"/>
      <c r="N47" s="21"/>
      <c r="O47" s="59"/>
      <c r="P47" s="60"/>
      <c r="Q47" s="59"/>
      <c r="R47" s="61"/>
      <c r="S47" s="67"/>
      <c r="T47" s="68"/>
      <c r="U47" s="64"/>
      <c r="V47" s="69"/>
      <c r="W47" s="59"/>
      <c r="X47" s="63"/>
    </row>
    <row r="48" spans="2:24" s="1" customFormat="1" ht="16.5" customHeight="1" x14ac:dyDescent="0.3">
      <c r="B48" s="1" t="s">
        <v>269</v>
      </c>
      <c r="C48" s="58"/>
      <c r="D48" s="59">
        <v>4</v>
      </c>
      <c r="E48" s="60" t="s">
        <v>216</v>
      </c>
      <c r="F48" s="59"/>
      <c r="G48" s="61" t="s">
        <v>197</v>
      </c>
      <c r="H48" s="71">
        <v>250</v>
      </c>
      <c r="I48" s="68"/>
      <c r="J48" s="64" t="s">
        <v>217</v>
      </c>
      <c r="K48" s="64"/>
      <c r="L48" s="49"/>
      <c r="M48" s="49"/>
      <c r="N48" s="21"/>
      <c r="O48" s="59"/>
      <c r="P48" s="60"/>
      <c r="Q48" s="59"/>
      <c r="R48" s="61"/>
      <c r="S48" s="67"/>
      <c r="T48" s="68"/>
      <c r="U48" s="64"/>
      <c r="V48" s="69"/>
      <c r="W48" s="59"/>
      <c r="X48" s="63"/>
    </row>
    <row r="49" spans="2:24" s="1" customFormat="1" ht="16.5" customHeight="1" x14ac:dyDescent="0.3">
      <c r="B49" s="1" t="s">
        <v>269</v>
      </c>
      <c r="C49" s="58"/>
      <c r="D49" s="59">
        <v>5</v>
      </c>
      <c r="E49" s="60" t="s">
        <v>218</v>
      </c>
      <c r="F49" s="59"/>
      <c r="G49" s="61" t="s">
        <v>197</v>
      </c>
      <c r="H49" s="71">
        <v>250</v>
      </c>
      <c r="I49" s="68"/>
      <c r="J49" s="64" t="s">
        <v>219</v>
      </c>
      <c r="K49" s="35"/>
      <c r="L49" s="49"/>
      <c r="M49" s="49"/>
      <c r="N49" s="21"/>
      <c r="O49" s="39"/>
      <c r="P49" s="47"/>
      <c r="Q49" s="39"/>
      <c r="R49" s="48"/>
      <c r="S49" s="55"/>
      <c r="T49" s="51"/>
      <c r="U49" s="35"/>
      <c r="V49" s="40"/>
      <c r="W49" s="39"/>
      <c r="X49" s="50"/>
    </row>
    <row r="50" spans="2:24" s="1" customFormat="1" ht="16.5" customHeight="1" x14ac:dyDescent="0.3">
      <c r="B50" s="1" t="s">
        <v>269</v>
      </c>
      <c r="C50" s="58"/>
      <c r="D50" s="59">
        <v>6</v>
      </c>
      <c r="E50" s="60" t="s">
        <v>220</v>
      </c>
      <c r="F50" s="59"/>
      <c r="G50" s="61" t="s">
        <v>197</v>
      </c>
      <c r="H50" s="71" t="s">
        <v>221</v>
      </c>
      <c r="I50" s="68"/>
      <c r="J50" s="64" t="s">
        <v>222</v>
      </c>
      <c r="K50" s="35"/>
      <c r="L50" s="49"/>
      <c r="M50" s="49"/>
      <c r="N50" s="21"/>
      <c r="O50" s="39"/>
      <c r="P50" s="47"/>
      <c r="Q50" s="39"/>
      <c r="R50" s="48"/>
      <c r="S50" s="55"/>
      <c r="T50" s="51"/>
      <c r="U50" s="35"/>
      <c r="V50" s="40"/>
      <c r="W50" s="39"/>
      <c r="X50" s="50"/>
    </row>
    <row r="51" spans="2:24" s="1" customFormat="1" ht="16.5" customHeight="1" x14ac:dyDescent="0.3">
      <c r="B51" s="1" t="s">
        <v>269</v>
      </c>
      <c r="C51" s="58"/>
      <c r="D51" s="59">
        <v>7</v>
      </c>
      <c r="E51" s="60" t="s">
        <v>223</v>
      </c>
      <c r="F51" s="59"/>
      <c r="G51" s="61" t="s">
        <v>197</v>
      </c>
      <c r="H51" s="67">
        <v>100</v>
      </c>
      <c r="I51" s="68"/>
      <c r="J51" s="72" t="s">
        <v>224</v>
      </c>
      <c r="K51" s="35"/>
      <c r="L51" s="49"/>
      <c r="M51" s="49"/>
      <c r="N51" s="21"/>
      <c r="O51" s="39"/>
      <c r="P51" s="47"/>
      <c r="Q51" s="39"/>
      <c r="R51" s="48"/>
      <c r="S51" s="55"/>
      <c r="T51" s="51"/>
      <c r="U51" s="35"/>
      <c r="V51" s="40"/>
      <c r="W51" s="39"/>
      <c r="X51" s="50"/>
    </row>
    <row r="52" spans="2:24" s="1" customFormat="1" ht="16.5" customHeight="1" x14ac:dyDescent="0.3">
      <c r="B52" s="1" t="s">
        <v>269</v>
      </c>
      <c r="C52" s="58"/>
      <c r="D52" s="59">
        <v>8</v>
      </c>
      <c r="E52" s="60" t="s">
        <v>225</v>
      </c>
      <c r="F52" s="59"/>
      <c r="G52" s="61" t="s">
        <v>197</v>
      </c>
      <c r="H52" s="67" t="s">
        <v>264</v>
      </c>
      <c r="I52" s="68"/>
      <c r="J52" s="72" t="s">
        <v>226</v>
      </c>
      <c r="K52" s="35"/>
      <c r="L52" s="49"/>
      <c r="M52" s="49"/>
      <c r="N52" s="21"/>
      <c r="O52" s="39"/>
      <c r="P52" s="47"/>
      <c r="Q52" s="39"/>
      <c r="R52" s="48"/>
      <c r="S52" s="35"/>
      <c r="T52" s="34"/>
      <c r="U52" s="56"/>
      <c r="V52" s="40"/>
      <c r="W52" s="39"/>
      <c r="X52" s="50"/>
    </row>
    <row r="53" spans="2:24" s="1" customFormat="1" ht="16.5" customHeight="1" x14ac:dyDescent="0.3">
      <c r="B53" s="1" t="s">
        <v>269</v>
      </c>
      <c r="C53" s="58"/>
      <c r="D53" s="59">
        <v>9</v>
      </c>
      <c r="E53" s="60" t="s">
        <v>227</v>
      </c>
      <c r="F53" s="59"/>
      <c r="G53" s="61" t="s">
        <v>197</v>
      </c>
      <c r="H53" s="67">
        <v>250</v>
      </c>
      <c r="I53" s="68"/>
      <c r="J53" s="72" t="s">
        <v>228</v>
      </c>
      <c r="K53" s="35"/>
      <c r="L53" s="49"/>
      <c r="M53" s="49"/>
      <c r="N53" s="21"/>
      <c r="O53" s="39"/>
      <c r="P53" s="35"/>
      <c r="Q53" s="39"/>
      <c r="R53" s="40"/>
      <c r="S53" s="40"/>
      <c r="T53" s="34"/>
      <c r="U53" s="35"/>
      <c r="V53" s="40"/>
      <c r="W53" s="39"/>
      <c r="X53" s="50"/>
    </row>
    <row r="54" spans="2:24" s="1" customFormat="1" x14ac:dyDescent="0.3">
      <c r="D54" s="4"/>
      <c r="G54" s="2"/>
      <c r="J54" s="5"/>
      <c r="L54" s="6"/>
      <c r="M54" s="6"/>
      <c r="O54" s="4"/>
      <c r="R54" s="2"/>
      <c r="U54" s="5"/>
      <c r="W54" s="6"/>
    </row>
    <row r="55" spans="2:24" ht="114" customHeight="1" x14ac:dyDescent="0.3">
      <c r="C55" s="152" t="s">
        <v>205</v>
      </c>
      <c r="D55" s="154" t="s">
        <v>260</v>
      </c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6"/>
    </row>
    <row r="56" spans="2:24" x14ac:dyDescent="0.3">
      <c r="C56" s="153"/>
      <c r="D56" s="157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9"/>
    </row>
    <row r="58" spans="2:24" ht="165.75" customHeight="1" x14ac:dyDescent="0.3">
      <c r="C58" s="87" t="s">
        <v>273</v>
      </c>
      <c r="D58" s="104" t="s">
        <v>274</v>
      </c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</row>
  </sheetData>
  <mergeCells count="49">
    <mergeCell ref="C55:C56"/>
    <mergeCell ref="D55:X56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58:X58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41:I42 T41:T42">
      <formula1>$O$3:$O$4</formula1>
    </dataValidation>
    <dataValidation type="list" allowBlank="1" showInputMessage="1" showErrorMessage="1" sqref="G11:M11">
      <formula1>$C$3:$C$52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T18:T21 I25:I40 I18:I21 T44:T53 I44 T25:T40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I45:I53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purl.org/dc/terms/"/>
    <ds:schemaRef ds:uri="731d854a-f254-4daf-80ce-63258d59822f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IF_SRD_DPS_ERP_0067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2022-11-07T07:20:08Z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