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5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esktop\Document\08.CSR\진행중\SRM2402-03532_DPS_신규\"/>
    </mc:Choice>
  </mc:AlternateContent>
  <xr:revisionPtr revIDLastSave="0" documentId="13_ncr:1_{4EBC4B40-55AF-4867-9B90-16C6F55266C2}" xr6:coauthVersionLast="47" xr6:coauthVersionMax="47" xr10:uidLastSave="{00000000-0000-0000-0000-000000000000}"/>
  <bookViews>
    <workbookView xWindow="-120" yWindow="-120" windowWidth="38640" windowHeight="15840" tabRatio="836" xr2:uid="{00000000-000D-0000-FFFF-FFFF00000000}"/>
  </bookViews>
  <sheets>
    <sheet name="변경이력관리" sheetId="2" r:id="rId1"/>
    <sheet name="Code" sheetId="8" state="hidden" r:id="rId2"/>
    <sheet name="IF_SRD_DPS_PMS_0004" sheetId="10" r:id="rId3"/>
  </sheets>
  <externalReferences>
    <externalReference r:id="rId4"/>
    <externalReference r:id="rId5"/>
    <externalReference r:id="rId6"/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0" l="1"/>
  <c r="R1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등록
DBtoDB
EMStoDB
EMStoEMS
RESTtoREST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1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WebService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6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6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<sst xmlns="http://schemas.openxmlformats.org/spreadsheetml/2006/main" count="600" uniqueCount="296">
  <si>
    <t>Interface ID</t>
  </si>
  <si>
    <t>Interface Name</t>
  </si>
  <si>
    <t>Description</t>
  </si>
  <si>
    <t>작성일</t>
  </si>
  <si>
    <t>주기</t>
  </si>
  <si>
    <t>인터페이스구분</t>
  </si>
  <si>
    <t>최대처리횟수</t>
  </si>
  <si>
    <t>Seq</t>
  </si>
  <si>
    <t>Field</t>
  </si>
  <si>
    <t>Key</t>
  </si>
  <si>
    <t>Type</t>
  </si>
  <si>
    <t>SIZE</t>
  </si>
  <si>
    <t>Condition</t>
  </si>
  <si>
    <t>Mapping Rule</t>
    <phoneticPr fontId="2" type="noConversion"/>
  </si>
  <si>
    <t>Y</t>
    <phoneticPr fontId="2" type="noConversion"/>
  </si>
  <si>
    <t>Output</t>
    <phoneticPr fontId="2" type="noConversion"/>
  </si>
  <si>
    <t>Input</t>
    <phoneticPr fontId="2" type="noConversion"/>
  </si>
  <si>
    <t>Depth</t>
    <phoneticPr fontId="2" type="noConversion"/>
  </si>
  <si>
    <t>Object</t>
    <phoneticPr fontId="2" type="noConversion"/>
  </si>
  <si>
    <t>데이터크기(최대)</t>
    <phoneticPr fontId="2" type="noConversion"/>
  </si>
  <si>
    <t>ERP</t>
    <phoneticPr fontId="2" type="noConversion"/>
  </si>
  <si>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</si>
  <si>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</si>
  <si>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</si>
  <si>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</si>
  <si>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</si>
  <si>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</si>
  <si>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</si>
  <si>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Source</t>
    <phoneticPr fontId="2" type="noConversion"/>
  </si>
  <si>
    <t>매핑 정의서</t>
    <phoneticPr fontId="2" type="noConversion"/>
  </si>
  <si>
    <t>Target</t>
    <phoneticPr fontId="2" type="noConversion"/>
  </si>
  <si>
    <t>Code</t>
    <phoneticPr fontId="2" type="noConversion"/>
  </si>
  <si>
    <t>Module</t>
    <phoneticPr fontId="2" type="noConversion"/>
  </si>
  <si>
    <t>System Name</t>
    <phoneticPr fontId="2" type="noConversion"/>
  </si>
  <si>
    <t>Object</t>
    <phoneticPr fontId="2" type="noConversion"/>
  </si>
  <si>
    <t>Protocol</t>
    <phoneticPr fontId="2" type="noConversion"/>
  </si>
  <si>
    <t>null허용</t>
    <phoneticPr fontId="2" type="noConversion"/>
  </si>
  <si>
    <t>연계패턴</t>
    <phoneticPr fontId="2" type="noConversion"/>
  </si>
  <si>
    <t>Data Format</t>
    <phoneticPr fontId="2" type="noConversion"/>
  </si>
  <si>
    <t>Service ID</t>
    <phoneticPr fontId="2" type="noConversion"/>
  </si>
  <si>
    <t>System Code</t>
    <phoneticPr fontId="2" type="noConversion"/>
  </si>
  <si>
    <t>실행유형</t>
    <phoneticPr fontId="2" type="noConversion"/>
  </si>
  <si>
    <t>Online</t>
    <phoneticPr fontId="2" type="noConversion"/>
  </si>
  <si>
    <t>Batch</t>
    <phoneticPr fontId="2" type="noConversion"/>
  </si>
  <si>
    <t>통신유형</t>
    <phoneticPr fontId="2" type="noConversion"/>
  </si>
  <si>
    <t>통신유형</t>
    <phoneticPr fontId="2" type="noConversion"/>
  </si>
  <si>
    <t>Sync</t>
    <phoneticPr fontId="2" type="noConversion"/>
  </si>
  <si>
    <t>Async</t>
    <phoneticPr fontId="2" type="noConversion"/>
  </si>
  <si>
    <t>Notify</t>
    <phoneticPr fontId="2" type="noConversion"/>
  </si>
  <si>
    <t>Null 허용</t>
    <phoneticPr fontId="2" type="noConversion"/>
  </si>
  <si>
    <t>N</t>
    <phoneticPr fontId="2" type="noConversion"/>
  </si>
  <si>
    <t>Source
기능 요건</t>
    <phoneticPr fontId="2" type="noConversion"/>
  </si>
  <si>
    <t>Target
기능 요건</t>
    <phoneticPr fontId="2" type="noConversion"/>
  </si>
  <si>
    <t>ERP</t>
  </si>
  <si>
    <t>Partner Portal (WEB VAN)</t>
  </si>
  <si>
    <t>VAN</t>
    <phoneticPr fontId="2" type="noConversion"/>
  </si>
  <si>
    <t>무전표(EAS)</t>
  </si>
  <si>
    <t>EAS</t>
    <phoneticPr fontId="2" type="noConversion"/>
  </si>
  <si>
    <t>재무지원(e-Finance)</t>
    <phoneticPr fontId="2" type="noConversion"/>
  </si>
  <si>
    <t>EFN</t>
    <phoneticPr fontId="2" type="noConversion"/>
  </si>
  <si>
    <t>Pricing Tool</t>
    <phoneticPr fontId="2" type="noConversion"/>
  </si>
  <si>
    <t>PRC</t>
    <phoneticPr fontId="2" type="noConversion"/>
  </si>
  <si>
    <t>무석 MES</t>
    <phoneticPr fontId="2" type="noConversion"/>
  </si>
  <si>
    <t>WMES</t>
    <phoneticPr fontId="2" type="noConversion"/>
  </si>
  <si>
    <t>G-HR</t>
    <phoneticPr fontId="2" type="noConversion"/>
  </si>
  <si>
    <t>GHR</t>
    <phoneticPr fontId="2" type="noConversion"/>
  </si>
  <si>
    <t>통합경영(BI)</t>
  </si>
  <si>
    <t>BI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</si>
  <si>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</si>
  <si>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</si>
  <si>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</si>
  <si>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</si>
  <si>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</si>
  <si>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SCM</t>
  </si>
  <si>
    <t>SCM</t>
    <phoneticPr fontId="2" type="noConversion"/>
  </si>
  <si>
    <t>DataLake</t>
    <phoneticPr fontId="2" type="noConversion"/>
  </si>
  <si>
    <t>-</t>
    <phoneticPr fontId="2" type="noConversion"/>
  </si>
  <si>
    <t>수주생산일정(PSMS)</t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</si>
  <si>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</si>
  <si>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</si>
  <si>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</si>
  <si>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</si>
  <si>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</si>
  <si>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</si>
  <si>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</si>
  <si>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</si>
  <si>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</si>
  <si>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</si>
  <si>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</si>
  <si>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</si>
  <si>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</si>
  <si>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</si>
  <si>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</si>
  <si>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</si>
  <si>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</si>
  <si>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</si>
  <si>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</si>
  <si>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</si>
  <si>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</si>
  <si>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</si>
  <si>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</si>
  <si>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</si>
  <si>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</si>
  <si>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</si>
  <si>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</si>
  <si>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</si>
  <si>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</si>
  <si>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</si>
  <si>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</si>
  <si>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</si>
  <si>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</si>
  <si>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</si>
  <si>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</si>
  <si>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</si>
  <si>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</si>
  <si>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</si>
  <si>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</si>
  <si>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</si>
  <si>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</si>
  <si>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</si>
  <si>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</si>
  <si>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</si>
  <si>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</si>
  <si>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</si>
  <si>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</si>
  <si>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</si>
  <si>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</si>
  <si>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</si>
  <si>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</si>
  <si>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</si>
  <si>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</si>
  <si>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</si>
  <si>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</si>
  <si>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</si>
  <si>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</si>
  <si>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</si>
  <si>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</si>
  <si>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</si>
  <si>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</si>
  <si>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-</t>
    <phoneticPr fontId="2" type="noConversion"/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</si>
  <si>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</si>
  <si>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</si>
  <si>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</si>
  <si>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</si>
  <si>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</si>
  <si>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</si>
  <si>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</si>
  <si>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</si>
  <si>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</si>
  <si>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</si>
  <si>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</si>
  <si>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</si>
  <si>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</si>
  <si>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</si>
  <si>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</si>
  <si>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</si>
  <si>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</si>
  <si>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</si>
  <si>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</si>
  <si>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</si>
  <si>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</si>
  <si>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</si>
  <si>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</si>
  <si>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</si>
  <si>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</si>
  <si>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Protocol</t>
    <phoneticPr fontId="2" type="noConversion"/>
  </si>
  <si>
    <t>DB</t>
    <phoneticPr fontId="2" type="noConversion"/>
  </si>
  <si>
    <t>EMS</t>
    <phoneticPr fontId="2" type="noConversion"/>
  </si>
  <si>
    <t>REST</t>
    <phoneticPr fontId="2" type="noConversion"/>
  </si>
  <si>
    <t>SFTP</t>
    <phoneticPr fontId="2" type="noConversion"/>
  </si>
  <si>
    <t>Object Type</t>
    <phoneticPr fontId="2" type="noConversion"/>
  </si>
  <si>
    <t>etc</t>
    <phoneticPr fontId="2" type="noConversion"/>
  </si>
  <si>
    <t>File</t>
    <phoneticPr fontId="2" type="noConversion"/>
  </si>
  <si>
    <t>Table</t>
    <phoneticPr fontId="2" type="noConversion"/>
  </si>
  <si>
    <t>View</t>
    <phoneticPr fontId="2" type="noConversion"/>
  </si>
  <si>
    <t>Procedure</t>
    <phoneticPr fontId="2" type="noConversion"/>
  </si>
  <si>
    <t>Function</t>
    <phoneticPr fontId="2" type="noConversion"/>
  </si>
  <si>
    <t>Package</t>
    <phoneticPr fontId="2" type="noConversion"/>
  </si>
  <si>
    <t>ServiceURI</t>
    <phoneticPr fontId="2" type="noConversion"/>
  </si>
  <si>
    <t>수주 PMS</t>
  </si>
  <si>
    <t>PMS_IFC</t>
    <phoneticPr fontId="2" type="noConversion"/>
  </si>
  <si>
    <t>nvarchar</t>
    <phoneticPr fontId="2" type="noConversion"/>
  </si>
  <si>
    <t>Sync</t>
  </si>
  <si>
    <t>RESTtoDB</t>
    <phoneticPr fontId="2" type="noConversion"/>
  </si>
  <si>
    <t>PDM</t>
    <phoneticPr fontId="2" type="noConversion"/>
  </si>
  <si>
    <t>S1</t>
    <phoneticPr fontId="2" type="noConversion"/>
  </si>
  <si>
    <t>R1</t>
    <phoneticPr fontId="2" type="noConversion"/>
  </si>
  <si>
    <t>SQL Query
(EAI 사용 쿼리)</t>
    <phoneticPr fontId="2" type="noConversion"/>
  </si>
  <si>
    <t>SQL Query</t>
    <phoneticPr fontId="2" type="noConversion"/>
  </si>
  <si>
    <t>EAI 시스템</t>
    <phoneticPr fontId="4" type="noConversion"/>
  </si>
  <si>
    <t>1. Temp Table 을 Truncate 한다. (EAI에서는 빈 table에 최신 데이터를 전체 적재만 함)
2. EAI Rest API 호출
3. Temp에서 본 테이블로 적재. (해당 건은 Truncate &amp; Insert)</t>
    <phoneticPr fontId="2" type="noConversion"/>
  </si>
  <si>
    <t>1. SQL Query를 수행하여 Datalake Object에 Insert 한다.</t>
    <phoneticPr fontId="2" type="noConversion"/>
  </si>
  <si>
    <t>Y</t>
    <phoneticPr fontId="2" type="noConversion"/>
  </si>
  <si>
    <t>Y</t>
    <phoneticPr fontId="2" type="noConversion"/>
  </si>
  <si>
    <t>구다환</t>
    <phoneticPr fontId="2" type="noConversion"/>
  </si>
  <si>
    <t>최초작성</t>
    <phoneticPr fontId="2" type="noConversion"/>
  </si>
  <si>
    <t>R3</t>
    <phoneticPr fontId="2" type="noConversion"/>
  </si>
  <si>
    <t>PMS EPI List Interface</t>
    <phoneticPr fontId="2" type="noConversion"/>
  </si>
  <si>
    <t xml:space="preserve">PMS EPI 요청현황 </t>
    <phoneticPr fontId="2" type="noConversion"/>
  </si>
  <si>
    <t>SELECT * 
FROM [PMS_IFC].[dbo].[TB_PMS_DM_EPI_REQUEST_ITEM_V]</t>
    <phoneticPr fontId="2" type="noConversion"/>
  </si>
  <si>
    <t>SAL_OPP_ID</t>
  </si>
  <si>
    <t>SAL_OPP_NM</t>
  </si>
  <si>
    <t>CLSS_CD</t>
  </si>
  <si>
    <t>REQ_EMP_ID</t>
  </si>
  <si>
    <t>REQ_NM</t>
  </si>
  <si>
    <t>TB_PMS_DM_EPI_REQUEST_ITEM_V</t>
    <phoneticPr fontId="2" type="noConversion"/>
  </si>
  <si>
    <t>EMPLOYEE_NUMBER</t>
  </si>
  <si>
    <t>PURC_NM</t>
  </si>
  <si>
    <t>CUSTOMER_NM</t>
  </si>
  <si>
    <t>EPI_STATUS</t>
  </si>
  <si>
    <t>EPI_REQ_DT</t>
  </si>
  <si>
    <t>REPLY_REQ_DT</t>
  </si>
  <si>
    <t>EXPECT_DUE_DATE</t>
  </si>
  <si>
    <t>EPI_COMPLETE_DATE</t>
  </si>
  <si>
    <t>SAL_STATUS</t>
    <phoneticPr fontId="2" type="noConversion"/>
  </si>
  <si>
    <t>ITEM_NO</t>
  </si>
  <si>
    <t>ITEM_CD</t>
  </si>
  <si>
    <t>ITEM_NAME</t>
  </si>
  <si>
    <t>ITEM_SPEC</t>
  </si>
  <si>
    <t>QTY</t>
  </si>
  <si>
    <t>CURRENCY</t>
  </si>
  <si>
    <t>EXNG_RATE</t>
  </si>
  <si>
    <t>TARGET_PRICE</t>
  </si>
  <si>
    <t>VENDOR_NAME</t>
  </si>
  <si>
    <t>EST_AMT</t>
  </si>
  <si>
    <t>RES_AMT</t>
  </si>
  <si>
    <t>양업기회번호</t>
    <phoneticPr fontId="2" type="noConversion"/>
  </si>
  <si>
    <t>영업기회명</t>
    <phoneticPr fontId="2" type="noConversion"/>
  </si>
  <si>
    <t>SPG</t>
    <phoneticPr fontId="2" type="noConversion"/>
  </si>
  <si>
    <t>EPI_REQ_NO</t>
  </si>
  <si>
    <t>EPI 번호</t>
    <phoneticPr fontId="2" type="noConversion"/>
  </si>
  <si>
    <t>요청자 사번</t>
    <phoneticPr fontId="2" type="noConversion"/>
  </si>
  <si>
    <t>요청자</t>
    <phoneticPr fontId="2" type="noConversion"/>
  </si>
  <si>
    <t>구매당당자</t>
    <phoneticPr fontId="2" type="noConversion"/>
  </si>
  <si>
    <t>구매담당자 사번</t>
    <phoneticPr fontId="2" type="noConversion"/>
  </si>
  <si>
    <t>발주처</t>
    <phoneticPr fontId="2" type="noConversion"/>
  </si>
  <si>
    <t>EPI 요청 상태</t>
    <phoneticPr fontId="2" type="noConversion"/>
  </si>
  <si>
    <t>요청일자</t>
    <phoneticPr fontId="2" type="noConversion"/>
  </si>
  <si>
    <t>회신요청일</t>
    <phoneticPr fontId="2" type="noConversion"/>
  </si>
  <si>
    <t>예상회신일자</t>
    <phoneticPr fontId="2" type="noConversion"/>
  </si>
  <si>
    <t>결과회신일</t>
    <phoneticPr fontId="2" type="noConversion"/>
  </si>
  <si>
    <t>영업기회상태</t>
    <phoneticPr fontId="2" type="noConversion"/>
  </si>
  <si>
    <t>품목 시퀀스</t>
    <phoneticPr fontId="2" type="noConversion"/>
  </si>
  <si>
    <t>품목코드</t>
    <phoneticPr fontId="2" type="noConversion"/>
  </si>
  <si>
    <t>품명</t>
    <phoneticPr fontId="2" type="noConversion"/>
  </si>
  <si>
    <t>사양</t>
    <phoneticPr fontId="2" type="noConversion"/>
  </si>
  <si>
    <t>수량</t>
    <phoneticPr fontId="2" type="noConversion"/>
  </si>
  <si>
    <t>통화</t>
    <phoneticPr fontId="2" type="noConversion"/>
  </si>
  <si>
    <t>환율</t>
    <phoneticPr fontId="2" type="noConversion"/>
  </si>
  <si>
    <t>기준단가</t>
    <phoneticPr fontId="2" type="noConversion"/>
  </si>
  <si>
    <t>업체명</t>
    <phoneticPr fontId="2" type="noConversion"/>
  </si>
  <si>
    <t>견적금액</t>
    <phoneticPr fontId="2" type="noConversion"/>
  </si>
  <si>
    <t>EPI금액</t>
    <phoneticPr fontId="2" type="noConversion"/>
  </si>
  <si>
    <t>DataLake</t>
  </si>
  <si>
    <t>IF_RESULT</t>
    <phoneticPr fontId="2" type="noConversion"/>
  </si>
  <si>
    <t>NVARCHAR</t>
  </si>
  <si>
    <t>전송 처리 코드(N: 데이터 발생시, P: 처리중, S: 성공, E: 오류)</t>
    <phoneticPr fontId="2" type="noConversion"/>
  </si>
  <si>
    <t>IF_TRC_ID</t>
    <phoneticPr fontId="2" type="noConversion"/>
  </si>
  <si>
    <t>EAI 트랜잭션 단위의 Unique ID</t>
    <phoneticPr fontId="2" type="noConversion"/>
  </si>
  <si>
    <t>IF_DATE</t>
    <phoneticPr fontId="2" type="noConversion"/>
  </si>
  <si>
    <t>DATETIME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</si>
  <si>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</si>
  <si>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</si>
  <si>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</si>
  <si>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</si>
  <si>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</si>
  <si>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</si>
  <si>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</si>
  <si>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</si>
  <si>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</si>
  <si>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</si>
  <si>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</si>
  <si>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</si>
  <si>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</si>
  <si>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</si>
  <si>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</si>
  <si>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</si>
  <si>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NVARCHAR</t>
    <phoneticPr fontId="2" type="noConversion"/>
  </si>
  <si>
    <t>처리건수</t>
  </si>
  <si>
    <t xml:space="preserve">IF_PARAM </t>
  </si>
  <si>
    <t>max</t>
    <phoneticPr fontId="2" type="noConversion"/>
  </si>
  <si>
    <t>호출시점 파라미터</t>
  </si>
  <si>
    <t xml:space="preserve">IF_END_DATETIME </t>
  </si>
  <si>
    <t>IF종료시점 시간</t>
  </si>
  <si>
    <t>SELECT [EPI_REQ_NO]
      ,[SAL_OPP_ID]
      ,[SAL_OPP_NM]
      ,[CLSS_CD]
      ,[REQ_EMP_ID]
      ,[REQ_NM]
      ,[EMPLOYEE_NUMBER]
      ,[PURC_NM]
      ,[CUSTOMER_NM]
      ,[EPI_STATUS]
      ,[EPI_REQ_DT]
      ,[REPLY_REQ_DT]
      ,[EXPECT_DUE_DATE]
      ,[EPI_COMPLETE_DATE]
      ,[SAL_STATUS]
      ,[ITEM_NO]
      ,[ITEM_CD]
      ,[ITEM_NAME]
      ,[ITEM_SPEC]
      ,[QTY]
      ,[CURRENCY]
      ,[EXNG_RATE]
      ,[TARGET_PRICE]
      ,[VENDOR_NAME]
      ,[EST_AMT]
      ,[RES_AMT]
  FROM [PMS_IFC].[dbo].[TB_PMS_DM_EPI_REQUEST_ITEM_V]</t>
    <phoneticPr fontId="2" type="noConversion"/>
  </si>
  <si>
    <t>PMS_EPI_REQUEST_ITEM</t>
    <phoneticPr fontId="2" type="noConversion"/>
  </si>
  <si>
    <t>IF_SRD_DPS_PMS_0004</t>
    <phoneticPr fontId="2" type="noConversion"/>
  </si>
  <si>
    <t>Online / 수시</t>
    <phoneticPr fontId="2" type="noConversion"/>
  </si>
  <si>
    <t>2024.02.08</t>
    <phoneticPr fontId="2" type="noConversion"/>
  </si>
  <si>
    <t>전현욱</t>
    <phoneticPr fontId="2" type="noConversion"/>
  </si>
  <si>
    <t>REST</t>
    <phoneticPr fontId="2" type="noConversion"/>
  </si>
  <si>
    <t>R2</t>
    <phoneticPr fontId="2" type="noConversion"/>
  </si>
  <si>
    <t>SELECT 
    EPI_REQ_NO
    ,SAL_OPP_ID
    ,SAL_OPP_NM
    ,CLSS_CD
    ,REQ_EMP_ID
    ,REQ_NM
    ,EMPLOYEE_NUMBER
    ,PURC_NM
    ,CUSTOMER_NM
    ,EPI_STATUS
    ,EPI_REQ_DT
    ,REPLY_REQ_DT
    ,EXPECT_DUE_DATE
    ,EPI_COMPLETE_DATE
    ,SAL_STATUS
    ,CAST(FORMAT(CAST(ITEM_NO as numeric(38,21)),'##0.##############') AS varchar(200)) AS ITEM_NO
    ,ITEM_CD
    ,ITEM_NAME
    ,ITEM_SPEC
    ,CAST(FORMAT(CAST(QTY as numeric(38,21)),'##0.##############') AS varchar(200)) AS QTY
    ,CURRENCY
    ,CAST(FORMAT(CAST(EXNG_RATE as numeric(38,21)),'##0.##############') AS varchar(200)) AS EXNG_RATE
    ,CAST(FORMAT(CAST(TARGET_PRICE as numeric(38,21)),'##0.##############') AS varchar(200)) AS TARGET_PRICE
    ,VENDOR_NAME
    ,CAST(FORMAT(CAST(EST_AMT as numeric(38,21)),'##0.##############') AS varchar(200)) AS EST_AMT
    ,CAST(FORMAT(CAST(RES_AMT as numeric(38,21)),'##0.##############') AS varchar(200)) AS RES_AMT
FROM TB_PMS_DM_EPI_REQUEST_ITEM_V</t>
    <phoneticPr fontId="2" type="noConversion"/>
  </si>
  <si>
    <t>2024.02.19</t>
    <phoneticPr fontId="2" type="noConversion"/>
  </si>
  <si>
    <t>고웅</t>
    <phoneticPr fontId="2" type="noConversion"/>
  </si>
  <si>
    <t>EAI 사용 쿼리 추가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</si>
</sst>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9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trike/>
      <sz val="10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</cellStyleXfs>
  <cellXfs count="186">
    <xf numFmtId="0" fontId="0" fillId="0" borderId="0" xfId="0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10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2" xfId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0" fillId="7" borderId="2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 wrapText="1"/>
    </xf>
    <xf numFmtId="0" fontId="12" fillId="5" borderId="3" xfId="1" applyFont="1" applyFill="1" applyBorder="1" applyAlignment="1">
      <alignment horizontal="center" vertical="center" wrapText="1"/>
    </xf>
    <xf numFmtId="0" fontId="0" fillId="2" borderId="2" xfId="0" quotePrefix="1" applyFill="1" applyBorder="1">
      <alignment vertical="center"/>
    </xf>
    <xf numFmtId="0" fontId="23" fillId="2" borderId="2" xfId="0" applyFont="1" applyFill="1" applyBorder="1">
      <alignment vertical="center"/>
    </xf>
    <xf numFmtId="0" fontId="9" fillId="0" borderId="26" xfId="0" applyFont="1" applyBorder="1">
      <alignment vertical="center"/>
    </xf>
    <xf numFmtId="0" fontId="9" fillId="0" borderId="27" xfId="0" applyFont="1" applyBorder="1">
      <alignment vertical="center"/>
    </xf>
    <xf numFmtId="0" fontId="12" fillId="5" borderId="23" xfId="1" applyFont="1" applyFill="1" applyBorder="1" applyAlignment="1">
      <alignment horizontal="center" vertical="center" wrapText="1"/>
    </xf>
    <xf numFmtId="0" fontId="5" fillId="2" borderId="2" xfId="0" applyFont="1" applyFill="1" applyBorder="1">
      <alignment vertical="center"/>
    </xf>
    <xf numFmtId="0" fontId="5" fillId="0" borderId="2" xfId="0" applyFont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/>
    </xf>
    <xf numFmtId="0" fontId="5" fillId="0" borderId="2" xfId="0" applyFont="1" applyBorder="1">
      <alignment vertical="center"/>
    </xf>
    <xf numFmtId="0" fontId="5" fillId="2" borderId="7" xfId="0" applyFont="1" applyFill="1" applyBorder="1">
      <alignment vertical="center"/>
    </xf>
    <xf numFmtId="0" fontId="5" fillId="2" borderId="21" xfId="0" applyFont="1" applyFill="1" applyBorder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quotePrefix="1" applyFont="1" applyFill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12" fillId="5" borderId="5" xfId="1" applyFont="1" applyFill="1" applyBorder="1" applyAlignment="1">
      <alignment horizontal="center" vertical="center" wrapText="1"/>
    </xf>
    <xf numFmtId="0" fontId="12" fillId="6" borderId="5" xfId="1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left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21" fillId="5" borderId="5" xfId="1" applyFont="1" applyFill="1" applyBorder="1" applyAlignment="1">
      <alignment horizontal="center" vertical="center" wrapText="1"/>
    </xf>
    <xf numFmtId="0" fontId="10" fillId="6" borderId="5" xfId="1" applyFont="1" applyFill="1" applyBorder="1" applyAlignment="1">
      <alignment horizontal="center" vertical="center" wrapText="1"/>
    </xf>
    <xf numFmtId="0" fontId="5" fillId="2" borderId="8" xfId="0" applyFont="1" applyFill="1" applyBorder="1">
      <alignment vertical="center"/>
    </xf>
    <xf numFmtId="0" fontId="9" fillId="0" borderId="30" xfId="0" applyFont="1" applyBorder="1" applyAlignment="1">
      <alignment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2" borderId="30" xfId="0" quotePrefix="1" applyFont="1" applyFill="1" applyBorder="1" applyAlignment="1">
      <alignment horizontal="left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vertical="center" wrapText="1"/>
    </xf>
    <xf numFmtId="3" fontId="9" fillId="2" borderId="30" xfId="0" quotePrefix="1" applyNumberFormat="1" applyFont="1" applyFill="1" applyBorder="1" applyAlignment="1">
      <alignment horizontal="left" vertical="center" wrapText="1"/>
    </xf>
    <xf numFmtId="0" fontId="9" fillId="2" borderId="30" xfId="0" quotePrefix="1" applyFont="1" applyFill="1" applyBorder="1" applyAlignment="1">
      <alignment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21" xfId="0" quotePrefix="1" applyFont="1" applyFill="1" applyBorder="1" applyAlignment="1">
      <alignment horizontal="left" vertical="center" wrapText="1"/>
    </xf>
    <xf numFmtId="0" fontId="9" fillId="0" borderId="30" xfId="0" quotePrefix="1" applyFont="1" applyBorder="1" applyAlignment="1">
      <alignment horizontal="left" vertical="center" wrapText="1"/>
    </xf>
    <xf numFmtId="3" fontId="9" fillId="0" borderId="30" xfId="0" quotePrefix="1" applyNumberFormat="1" applyFont="1" applyBorder="1" applyAlignment="1">
      <alignment horizontal="left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vertical="center" wrapText="1"/>
    </xf>
    <xf numFmtId="0" fontId="9" fillId="0" borderId="30" xfId="0" applyFont="1" applyBorder="1" applyAlignment="1">
      <alignment horizontal="left" vertical="center" wrapText="1"/>
    </xf>
    <xf numFmtId="0" fontId="0" fillId="0" borderId="30" xfId="0" applyBorder="1" applyAlignment="1"/>
    <xf numFmtId="0" fontId="9" fillId="2" borderId="21" xfId="0" applyFont="1" applyFill="1" applyBorder="1" applyAlignment="1">
      <alignment horizontal="left" vertical="center" wrapText="1"/>
    </xf>
    <xf numFmtId="0" fontId="9" fillId="0" borderId="30" xfId="0" quotePrefix="1" applyFont="1" applyBorder="1" applyAlignment="1">
      <alignment horizontal="left" vertical="center"/>
    </xf>
    <xf numFmtId="0" fontId="24" fillId="2" borderId="30" xfId="0" quotePrefix="1" applyFont="1" applyFill="1" applyBorder="1" applyAlignment="1">
      <alignment horizontal="left" vertical="center" wrapText="1"/>
    </xf>
    <xf numFmtId="0" fontId="14" fillId="0" borderId="30" xfId="0" applyFont="1" applyBorder="1" applyAlignment="1">
      <alignment horizontal="left" vertical="center"/>
    </xf>
    <xf numFmtId="0" fontId="5" fillId="0" borderId="30" xfId="0" applyFont="1" applyBorder="1">
      <alignment vertical="center"/>
    </xf>
    <xf numFmtId="0" fontId="5" fillId="0" borderId="30" xfId="0" applyFont="1" applyBorder="1" applyAlignment="1">
      <alignment horizontal="center" vertical="center"/>
    </xf>
    <xf numFmtId="0" fontId="5" fillId="2" borderId="30" xfId="0" applyFont="1" applyFill="1" applyBorder="1">
      <alignment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26" fillId="9" borderId="30" xfId="6" applyFont="1" applyFill="1" applyBorder="1" applyAlignment="1">
      <alignment vertical="center"/>
    </xf>
    <xf numFmtId="0" fontId="27" fillId="0" borderId="30" xfId="6" applyFont="1" applyBorder="1" applyAlignment="1">
      <alignment horizontal="left" vertical="center"/>
    </xf>
    <xf numFmtId="0" fontId="27" fillId="0" borderId="30" xfId="6" applyFont="1" applyBorder="1" applyAlignment="1">
      <alignment horizontal="right" vertical="center"/>
    </xf>
    <xf numFmtId="0" fontId="0" fillId="0" borderId="30" xfId="0" applyBorder="1" applyAlignment="1">
      <alignment horizontal="center"/>
    </xf>
    <xf numFmtId="1" fontId="0" fillId="0" borderId="30" xfId="0" applyNumberFormat="1" applyBorder="1" applyAlignment="1"/>
    <xf numFmtId="1" fontId="0" fillId="0" borderId="30" xfId="0" applyNumberFormat="1" applyBorder="1" applyAlignment="1">
      <alignment horizontal="right"/>
    </xf>
    <xf numFmtId="0" fontId="5" fillId="0" borderId="32" xfId="0" applyFont="1" applyBorder="1" applyAlignment="1">
      <alignment horizontal="right" vertical="center"/>
    </xf>
    <xf numFmtId="0" fontId="9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left" vertical="center"/>
    </xf>
    <xf numFmtId="0" fontId="5" fillId="0" borderId="30" xfId="0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10" fillId="0" borderId="2" xfId="1" applyFont="1" applyBorder="1" applyAlignment="1">
      <alignment horizontal="center" vertical="center"/>
    </xf>
    <xf numFmtId="0" fontId="5" fillId="0" borderId="33" xfId="0" applyFont="1" applyBorder="1">
      <alignment vertical="center"/>
    </xf>
    <xf numFmtId="0" fontId="5" fillId="0" borderId="33" xfId="0" applyFont="1" applyBorder="1" applyAlignment="1">
      <alignment horizontal="center" vertical="center"/>
    </xf>
    <xf numFmtId="0" fontId="5" fillId="2" borderId="33" xfId="0" applyFont="1" applyFill="1" applyBorder="1">
      <alignment vertical="center"/>
    </xf>
    <xf numFmtId="0" fontId="5" fillId="2" borderId="33" xfId="0" applyFont="1" applyFill="1" applyBorder="1" applyAlignment="1">
      <alignment horizontal="center" vertical="center"/>
    </xf>
    <xf numFmtId="0" fontId="12" fillId="2" borderId="33" xfId="1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10" fillId="0" borderId="30" xfId="1" applyFont="1" applyBorder="1" applyAlignment="1">
      <alignment horizontal="center" vertical="center"/>
    </xf>
    <xf numFmtId="0" fontId="5" fillId="2" borderId="30" xfId="0" applyFont="1" applyFill="1" applyBorder="1" applyAlignment="1">
      <alignment horizontal="left" vertical="center"/>
    </xf>
    <xf numFmtId="0" fontId="9" fillId="0" borderId="30" xfId="0" applyFont="1" applyBorder="1">
      <alignment vertical="center"/>
    </xf>
    <xf numFmtId="0" fontId="5" fillId="0" borderId="32" xfId="0" applyFont="1" applyBorder="1">
      <alignment vertical="center"/>
    </xf>
    <xf numFmtId="0" fontId="9" fillId="2" borderId="30" xfId="0" applyFont="1" applyFill="1" applyBorder="1">
      <alignment vertical="center"/>
    </xf>
    <xf numFmtId="0" fontId="25" fillId="0" borderId="30" xfId="0" applyFont="1" applyBorder="1">
      <alignment vertical="center"/>
    </xf>
    <xf numFmtId="0" fontId="15" fillId="3" borderId="0" xfId="5" applyFont="1" applyFill="1">
      <alignment vertical="center"/>
    </xf>
    <xf numFmtId="0" fontId="18" fillId="4" borderId="11" xfId="5" applyFont="1" applyFill="1" applyBorder="1" applyAlignment="1">
      <alignment horizontal="center" vertical="center"/>
    </xf>
    <xf numFmtId="0" fontId="18" fillId="4" borderId="12" xfId="5" applyFont="1" applyFill="1" applyBorder="1" applyAlignment="1">
      <alignment horizontal="center" vertical="center"/>
    </xf>
    <xf numFmtId="0" fontId="18" fillId="4" borderId="13" xfId="5" applyFont="1" applyFill="1" applyBorder="1" applyAlignment="1">
      <alignment horizontal="center" vertical="center"/>
    </xf>
    <xf numFmtId="0" fontId="18" fillId="4" borderId="14" xfId="5" applyFont="1" applyFill="1" applyBorder="1" applyAlignment="1">
      <alignment horizontal="center" vertical="center"/>
    </xf>
    <xf numFmtId="0" fontId="18" fillId="4" borderId="15" xfId="5" applyFont="1" applyFill="1" applyBorder="1" applyAlignment="1">
      <alignment horizontal="center" vertical="center"/>
    </xf>
    <xf numFmtId="0" fontId="14" fillId="2" borderId="16" xfId="5" applyFont="1" applyFill="1" applyBorder="1" applyAlignment="1">
      <alignment horizontal="center" vertical="center"/>
    </xf>
    <xf numFmtId="0" fontId="14" fillId="2" borderId="9" xfId="5" applyFont="1" applyFill="1" applyBorder="1" applyAlignment="1">
      <alignment horizontal="center" vertical="center"/>
    </xf>
    <xf numFmtId="0" fontId="14" fillId="2" borderId="7" xfId="5" applyFont="1" applyFill="1" applyBorder="1" applyAlignment="1">
      <alignment horizontal="center" vertical="center"/>
    </xf>
    <xf numFmtId="0" fontId="14" fillId="2" borderId="7" xfId="5" quotePrefix="1" applyFont="1" applyFill="1" applyBorder="1" applyAlignment="1">
      <alignment horizontal="left" vertical="center"/>
    </xf>
    <xf numFmtId="0" fontId="14" fillId="2" borderId="8" xfId="5" applyFont="1" applyFill="1" applyBorder="1" applyAlignment="1">
      <alignment horizontal="left" vertical="center"/>
    </xf>
    <xf numFmtId="0" fontId="14" fillId="2" borderId="9" xfId="5" applyFont="1" applyFill="1" applyBorder="1" applyAlignment="1">
      <alignment horizontal="left" vertical="center"/>
    </xf>
    <xf numFmtId="0" fontId="14" fillId="2" borderId="17" xfId="5" applyFont="1" applyFill="1" applyBorder="1" applyAlignment="1">
      <alignment horizontal="center" vertical="center"/>
    </xf>
    <xf numFmtId="0" fontId="14" fillId="2" borderId="7" xfId="5" applyFont="1" applyFill="1" applyBorder="1" applyAlignment="1">
      <alignment horizontal="left" vertical="center"/>
    </xf>
    <xf numFmtId="176" fontId="14" fillId="2" borderId="7" xfId="5" applyNumberFormat="1" applyFont="1" applyFill="1" applyBorder="1" applyAlignment="1">
      <alignment horizontal="center" vertical="center"/>
    </xf>
    <xf numFmtId="176" fontId="14" fillId="2" borderId="17" xfId="5" applyNumberFormat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left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0" fontId="13" fillId="5" borderId="1" xfId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11" fillId="6" borderId="5" xfId="0" applyFont="1" applyFill="1" applyBorder="1" applyAlignment="1">
      <alignment horizontal="left" vertical="center" wrapText="1"/>
    </xf>
    <xf numFmtId="0" fontId="11" fillId="6" borderId="6" xfId="0" applyFont="1" applyFill="1" applyBorder="1" applyAlignment="1">
      <alignment horizontal="left" vertical="center" wrapText="1"/>
    </xf>
    <xf numFmtId="14" fontId="11" fillId="6" borderId="1" xfId="0" applyNumberFormat="1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2" fillId="0" borderId="4" xfId="1" applyFont="1" applyBorder="1" applyAlignment="1">
      <alignment horizontal="left" vertical="center" wrapText="1"/>
    </xf>
    <xf numFmtId="0" fontId="12" fillId="0" borderId="5" xfId="1" applyFont="1" applyBorder="1" applyAlignment="1">
      <alignment horizontal="left" vertical="center" wrapText="1"/>
    </xf>
    <xf numFmtId="0" fontId="12" fillId="0" borderId="6" xfId="1" applyFont="1" applyBorder="1" applyAlignment="1">
      <alignment horizontal="left" vertical="center" wrapText="1"/>
    </xf>
    <xf numFmtId="0" fontId="12" fillId="5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left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8" fillId="6" borderId="7" xfId="1" applyFont="1" applyFill="1" applyBorder="1" applyAlignment="1">
      <alignment horizontal="left" vertical="center" wrapText="1"/>
    </xf>
    <xf numFmtId="0" fontId="8" fillId="6" borderId="34" xfId="1" applyFont="1" applyFill="1" applyBorder="1" applyAlignment="1">
      <alignment horizontal="left" vertical="center" wrapText="1"/>
    </xf>
    <xf numFmtId="0" fontId="8" fillId="6" borderId="9" xfId="1" applyFont="1" applyFill="1" applyBorder="1" applyAlignment="1">
      <alignment horizontal="left" vertical="center" wrapText="1"/>
    </xf>
    <xf numFmtId="0" fontId="21" fillId="5" borderId="1" xfId="1" applyFont="1" applyFill="1" applyBorder="1" applyAlignment="1">
      <alignment horizontal="center" vertical="center" wrapText="1"/>
    </xf>
    <xf numFmtId="0" fontId="21" fillId="5" borderId="4" xfId="1" applyFont="1" applyFill="1" applyBorder="1" applyAlignment="1">
      <alignment horizontal="center" vertical="center" wrapText="1"/>
    </xf>
    <xf numFmtId="0" fontId="21" fillId="5" borderId="19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4" xfId="1" applyFont="1" applyFill="1" applyBorder="1" applyAlignment="1">
      <alignment horizontal="center" vertical="center" wrapText="1"/>
    </xf>
    <xf numFmtId="0" fontId="12" fillId="5" borderId="5" xfId="1" applyFont="1" applyFill="1" applyBorder="1" applyAlignment="1">
      <alignment horizontal="center" vertical="center" wrapText="1"/>
    </xf>
    <xf numFmtId="0" fontId="12" fillId="5" borderId="6" xfId="1" applyFont="1" applyFill="1" applyBorder="1" applyAlignment="1">
      <alignment horizontal="center" vertical="center" wrapText="1"/>
    </xf>
    <xf numFmtId="0" fontId="12" fillId="6" borderId="35" xfId="1" applyFont="1" applyFill="1" applyBorder="1" applyAlignment="1">
      <alignment horizontal="left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2" fillId="6" borderId="38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4" xfId="1" applyFont="1" applyFill="1" applyBorder="1" applyAlignment="1">
      <alignment horizontal="left" vertical="center" wrapText="1"/>
    </xf>
    <xf numFmtId="0" fontId="12" fillId="6" borderId="5" xfId="1" applyFont="1" applyFill="1" applyBorder="1" applyAlignment="1">
      <alignment horizontal="left" vertical="center" wrapText="1"/>
    </xf>
    <xf numFmtId="0" fontId="12" fillId="6" borderId="39" xfId="1" applyFont="1" applyFill="1" applyBorder="1" applyAlignment="1">
      <alignment horizontal="left" vertical="center" wrapText="1"/>
    </xf>
    <xf numFmtId="0" fontId="10" fillId="6" borderId="39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" xfId="1" applyFont="1" applyFill="1" applyBorder="1" applyAlignment="1">
      <alignment horizontal="left" vertical="center" wrapText="1"/>
    </xf>
    <xf numFmtId="0" fontId="10" fillId="6" borderId="1" xfId="1" applyFont="1" applyFill="1" applyBorder="1" applyAlignment="1">
      <alignment horizontal="center" vertical="center" wrapText="1"/>
    </xf>
    <xf numFmtId="0" fontId="10" fillId="6" borderId="4" xfId="1" applyFont="1" applyFill="1" applyBorder="1" applyAlignment="1">
      <alignment horizontal="center" vertical="center" wrapText="1"/>
    </xf>
    <xf numFmtId="0" fontId="12" fillId="6" borderId="37" xfId="1" applyFont="1" applyFill="1" applyBorder="1" applyAlignment="1">
      <alignment horizontal="left" vertical="center" wrapText="1"/>
    </xf>
    <xf numFmtId="0" fontId="10" fillId="6" borderId="35" xfId="1" applyFont="1" applyFill="1" applyBorder="1" applyAlignment="1">
      <alignment horizontal="center" vertical="center" wrapText="1"/>
    </xf>
    <xf numFmtId="0" fontId="12" fillId="8" borderId="7" xfId="1" applyFont="1" applyFill="1" applyBorder="1" applyAlignment="1">
      <alignment horizontal="left" vertical="top" wrapText="1"/>
    </xf>
    <xf numFmtId="0" fontId="12" fillId="8" borderId="8" xfId="1" applyFont="1" applyFill="1" applyBorder="1" applyAlignment="1">
      <alignment horizontal="left" vertical="top" wrapText="1"/>
    </xf>
    <xf numFmtId="0" fontId="12" fillId="8" borderId="9" xfId="1" applyFont="1" applyFill="1" applyBorder="1" applyAlignment="1">
      <alignment horizontal="left" vertical="top" wrapText="1"/>
    </xf>
    <xf numFmtId="0" fontId="12" fillId="10" borderId="1" xfId="1" applyFont="1" applyFill="1" applyBorder="1" applyAlignment="1">
      <alignment horizontal="center" vertical="center" wrapText="1"/>
    </xf>
    <xf numFmtId="0" fontId="12" fillId="10" borderId="4" xfId="1" applyFont="1" applyFill="1" applyBorder="1" applyAlignment="1">
      <alignment horizontal="center" vertical="center" wrapText="1"/>
    </xf>
    <xf numFmtId="0" fontId="12" fillId="8" borderId="19" xfId="1" applyFont="1" applyFill="1" applyBorder="1" applyAlignment="1">
      <alignment horizontal="center" vertical="center" wrapText="1"/>
    </xf>
    <xf numFmtId="0" fontId="12" fillId="8" borderId="1" xfId="1" applyFont="1" applyFill="1" applyBorder="1" applyAlignment="1">
      <alignment horizontal="center" vertical="center" wrapText="1"/>
    </xf>
    <xf numFmtId="0" fontId="12" fillId="8" borderId="4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8" borderId="23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2" fillId="8" borderId="25" xfId="1" applyFont="1" applyFill="1" applyBorder="1" applyAlignment="1">
      <alignment horizontal="center" vertical="center" wrapText="1"/>
    </xf>
    <xf numFmtId="0" fontId="12" fillId="10" borderId="24" xfId="1" applyFont="1" applyFill="1" applyBorder="1" applyAlignment="1">
      <alignment horizontal="center" vertical="center" wrapText="1"/>
    </xf>
    <xf numFmtId="0" fontId="12" fillId="10" borderId="18" xfId="1" applyFont="1" applyFill="1" applyBorder="1" applyAlignment="1">
      <alignment horizontal="center" vertical="center" wrapText="1"/>
    </xf>
    <xf numFmtId="0" fontId="12" fillId="6" borderId="7" xfId="1" applyFont="1" applyFill="1" applyBorder="1" applyAlignment="1">
      <alignment horizontal="left" vertical="top" wrapText="1"/>
    </xf>
    <xf numFmtId="0" fontId="12" fillId="6" borderId="8" xfId="1" applyFont="1" applyFill="1" applyBorder="1" applyAlignment="1">
      <alignment horizontal="left" vertical="top" wrapText="1"/>
    </xf>
    <xf numFmtId="0" fontId="12" fillId="6" borderId="9" xfId="1" applyFont="1" applyFill="1" applyBorder="1" applyAlignment="1">
      <alignment horizontal="left" vertical="top" wrapText="1"/>
    </xf>
    <xf numFmtId="0" fontId="28" fillId="5" borderId="2" xfId="1" applyFont="1" applyFill="1" applyBorder="1" applyAlignment="1">
      <alignment horizontal="center" vertical="center" wrapText="1"/>
    </xf>
    <xf numFmtId="0" fontId="28" fillId="8" borderId="7" xfId="1" applyFont="1" applyFill="1" applyBorder="1" applyAlignment="1">
      <alignment horizontal="left" vertical="top" wrapText="1"/>
    </xf>
    <xf numFmtId="0" fontId="28" fillId="8" borderId="8" xfId="1" applyFont="1" applyFill="1" applyBorder="1" applyAlignment="1">
      <alignment horizontal="left" vertical="top" wrapText="1"/>
    </xf>
    <xf numFmtId="0" fontId="28" fillId="8" borderId="9" xfId="1" applyFont="1" applyFill="1" applyBorder="1" applyAlignment="1">
      <alignment horizontal="left" vertical="top" wrapText="1"/>
    </xf>
  </cellXfs>
  <cellStyles count="7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</cellStyles>
  <dxfs count="0"/>
  <tableStyles count="0" defaultTableStyle="TableStyleMedium2" defaultPivotStyle="PivotStyleLight16"/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styles.xml" Type="http://schemas.openxmlformats.org/officeDocument/2006/relationships/styles"/>
<Relationship Id="rId11" Target="sharedStrings.xml" Type="http://schemas.openxmlformats.org/officeDocument/2006/relationships/sharedStrings"/>
<Relationship Id="rId12" Target="calcChain.xml" Type="http://schemas.openxmlformats.org/officeDocument/2006/relationships/calcChain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externalLinks/externalLink3.xml" Type="http://schemas.openxmlformats.org/officeDocument/2006/relationships/externalLink"/>
<Relationship Id="rId7" Target="externalLinks/externalLink4.xml" Type="http://schemas.openxmlformats.org/officeDocument/2006/relationships/externalLink"/>
<Relationship Id="rId8" Target="externalLinks/externalLink5.xml" Type="http://schemas.openxmlformats.org/officeDocument/2006/relationships/externalLink"/>
<Relationship Id="rId9" Target="theme/theme1.xml" Type="http://schemas.openxmlformats.org/officeDocument/2006/relationships/theme"/>
</Relationships>

</file>

<file path=xl/externalLinks/_rels/externalLink1.xml.rels><?xml version="1.0" encoding="UTF-8" standalone="no"?>
<Relationships xmlns="http://schemas.openxmlformats.org/package/2006/relationships">
<Relationship Id="rId1" Target="/comkdhc/2024/&#45936;&#51060;&#53552;&#54252;&#53448;/&#51201;&#51116;&#50836;&#52397;/240207_&#54620;&#50857;&#54872;M_PMS%20EPI/&#51064;&#53552;&#54168;&#51060;&#49828;_&#47588;&#54609;&#51221;&#51032;&#49436;_IF_SRD_DPS_SCM_0001_&#51228;&#54408;&#47448;%20PSI%20&#54408;&#47785;%20&#44288;&#47532;%20(DS_MT_PSI_CODE_LIST)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E:/05_EAI_&#44396;&#52629;/00_2021_EAI&#44396;&#52629;_&#44060;&#48156;&#51652;&#54665;/DEV_20220511_2&#52264;&#52628;&#44032;&#44060;&#49440;/&#51064;&#53552;&#54168;&#51060;&#49828;_&#47588;&#54609;&#51221;&#51032;&#49436;_IF_SRD_PDM_ERP_0168_itemDescriptionCheckERP_v0.2.xlsx" TargetMode="External" Type="http://schemas.openxmlformats.org/officeDocument/2006/relationships/externalLinkPath"/>
</Relationships>

</file>

<file path=xl/externalLinks/_rels/externalLink3.xml.rels><?xml version="1.0" encoding="UTF-8" standalone="no"?>
<Relationships xmlns="http://schemas.openxmlformats.org/package/2006/relationships">
<Relationship Id="rId1" Target="/comkdhc/2023/&#45936;&#51060;&#53552;&#54540;&#47019;&#54268;/&#51201;&#51116;&#50836;&#52397;/230717_&#51060;&#50896;&#51333;M/&#51064;&#53552;&#54168;&#51060;&#49828;_&#47588;&#54609;&#51221;&#51032;&#49436;_IF_SRD_DPS_SCM_0001_&#51228;&#54408;&#47448;%20PSI%20&#54408;&#47785;%20&#44288;&#47532;%20(DS_MT_PSI_CODE_LIST).xlsx" TargetMode="External" Type="http://schemas.openxmlformats.org/officeDocument/2006/relationships/externalLinkPath"/>
</Relationships>

</file>

<file path=xl/externalLinks/_rels/externalLink4.xml.rels><?xml version="1.0" encoding="UTF-8" standalone="no"?>
<Relationships xmlns="http://schemas.openxmlformats.org/package/2006/relationships">
<Relationship Id="rId1" Target="file://///hqfs1.lsis.biz/00_ITO%20&#44277;&#53685;/comkdhc/2023/&#45936;&#51060;&#53552;&#54540;&#47019;&#54268;/&#51201;&#51116;&#50836;&#52397;/230717_&#51060;&#50896;&#51333;M/&#51064;&#53552;&#54168;&#51060;&#49828;_&#47588;&#54609;&#51221;&#51032;&#49436;_IF_SRD_DPS_SCM_0001_&#51228;&#54408;&#47448;%20PSI%20&#54408;&#47785;%20&#44288;&#47532;%20(DS_MT_PSI_CODE_LIST).xlsx" TargetMode="External" Type="http://schemas.openxmlformats.org/officeDocument/2006/relationships/externalLinkPath"/>
</Relationships>

</file>

<file path=xl/externalLinks/_rels/externalLink5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RP_0154"/>
    </sheetNames>
    <sheetDataSet>
      <sheetData sheetId="0"/>
      <sheetData sheetId="1">
        <row r="3">
          <cell r="B3" t="str">
            <v>Partner Portal (WEB VAN)</v>
          </cell>
          <cell r="C3" t="str">
            <v>VAN</v>
          </cell>
        </row>
        <row r="4">
          <cell r="B4" t="str">
            <v>무전표(EAS)</v>
          </cell>
          <cell r="C4" t="str">
            <v>EAS</v>
          </cell>
        </row>
        <row r="5">
          <cell r="B5" t="str">
            <v>재무지원(e-Finance)</v>
          </cell>
          <cell r="C5" t="str">
            <v>EFN</v>
          </cell>
        </row>
        <row r="6">
          <cell r="B6" t="str">
            <v>Pricing Tool</v>
          </cell>
          <cell r="C6" t="str">
            <v>PRC</v>
          </cell>
        </row>
        <row r="7">
          <cell r="B7" t="str">
            <v>무석 MES</v>
          </cell>
          <cell r="C7" t="str">
            <v>WMES</v>
          </cell>
        </row>
        <row r="8">
          <cell r="B8" t="str">
            <v>ERP</v>
          </cell>
          <cell r="C8" t="str">
            <v>ERP</v>
          </cell>
        </row>
        <row r="9">
          <cell r="B9" t="str">
            <v>G-HR</v>
          </cell>
          <cell r="C9" t="str">
            <v>GHR</v>
          </cell>
        </row>
        <row r="10">
          <cell r="B10" t="str">
            <v>통합경영(BI)</v>
          </cell>
          <cell r="C10" t="str">
            <v>BI</v>
          </cell>
        </row>
        <row r="11">
          <cell r="B11" t="str">
            <v>사업계획/이동계획(eBizPlanning)</v>
          </cell>
          <cell r="C11" t="str">
            <v>EBIZ</v>
          </cell>
        </row>
        <row r="12">
          <cell r="B12" t="str">
            <v>품질정보(QIS)</v>
          </cell>
          <cell r="C12" t="str">
            <v>QIS</v>
          </cell>
        </row>
        <row r="13">
          <cell r="B13" t="str">
            <v>PLM</v>
          </cell>
          <cell r="C13" t="str">
            <v>PLM</v>
          </cell>
        </row>
        <row r="14">
          <cell r="B14" t="str">
            <v>SCM</v>
          </cell>
          <cell r="C14" t="str">
            <v>SCM</v>
          </cell>
        </row>
        <row r="15">
          <cell r="B15" t="str">
            <v>DataLake</v>
          </cell>
          <cell r="C15" t="str">
            <v>DPS</v>
          </cell>
        </row>
        <row r="16">
          <cell r="B16" t="str">
            <v>수주생산일정(PSMS)</v>
          </cell>
          <cell r="C16" t="str">
            <v>-</v>
          </cell>
        </row>
        <row r="17">
          <cell r="B17" t="str">
            <v>수주 PMS</v>
          </cell>
          <cell r="C17" t="str">
            <v>PMS</v>
          </cell>
        </row>
        <row r="18">
          <cell r="B18" t="str">
            <v>관세환급 System</v>
          </cell>
          <cell r="C18" t="str">
            <v>CRM</v>
          </cell>
        </row>
        <row r="19">
          <cell r="B19" t="str">
            <v>MES</v>
          </cell>
          <cell r="C19" t="str">
            <v>MES</v>
          </cell>
        </row>
        <row r="20">
          <cell r="B20" t="str">
            <v>단가관리(CMS)</v>
          </cell>
          <cell r="C20" t="str">
            <v>CMS</v>
          </cell>
        </row>
        <row r="21">
          <cell r="B21" t="str">
            <v>협력사생산관리(NAMOS)</v>
          </cell>
          <cell r="C21" t="str">
            <v>NAMOS</v>
          </cell>
        </row>
        <row r="22">
          <cell r="B22" t="str">
            <v>지적재산(TIPS)</v>
          </cell>
          <cell r="C22" t="str">
            <v>TIPS</v>
          </cell>
        </row>
        <row r="23">
          <cell r="B23" t="str">
            <v>전자계약</v>
          </cell>
          <cell r="C23" t="str">
            <v>ECS</v>
          </cell>
        </row>
        <row r="24">
          <cell r="B24" t="str">
            <v>통문 WEB</v>
          </cell>
          <cell r="C24" t="str">
            <v>GMS</v>
          </cell>
        </row>
        <row r="25">
          <cell r="B25" t="str">
            <v>워런티인증 및 모바일서비스</v>
          </cell>
          <cell r="C25" t="str">
            <v>-</v>
          </cell>
        </row>
        <row r="26">
          <cell r="B26" t="str">
            <v>FTA원산지관리</v>
          </cell>
          <cell r="C26" t="str">
            <v>FTA</v>
          </cell>
        </row>
        <row r="27">
          <cell r="B27" t="str">
            <v>형명관리</v>
          </cell>
          <cell r="C27" t="str">
            <v>MCS</v>
          </cell>
        </row>
        <row r="28">
          <cell r="B28" t="str">
            <v>구매포털(TOPS)</v>
          </cell>
          <cell r="C28" t="str">
            <v>TOPS</v>
          </cell>
        </row>
        <row r="29">
          <cell r="B29" t="str">
            <v>설비관리(CMMS)</v>
          </cell>
          <cell r="C29" t="str">
            <v>CMMS</v>
          </cell>
        </row>
        <row r="30">
          <cell r="B30" t="str">
            <v>PDA</v>
          </cell>
          <cell r="C30" t="str">
            <v>PDA</v>
          </cell>
        </row>
        <row r="31">
          <cell r="B31" t="str">
            <v>고객센터VOC(CTI)</v>
          </cell>
          <cell r="C31" t="str">
            <v>CTI</v>
          </cell>
        </row>
        <row r="32">
          <cell r="B32" t="str">
            <v>PEMS</v>
          </cell>
          <cell r="C32" t="str">
            <v>-</v>
          </cell>
        </row>
        <row r="33">
          <cell r="B33" t="str">
            <v>TDS (변압기 설계시스템)</v>
          </cell>
          <cell r="C33" t="str">
            <v>MTDS</v>
          </cell>
        </row>
        <row r="34">
          <cell r="B34" t="str">
            <v>스마트마더(TW 데쉬보드)</v>
          </cell>
          <cell r="C34" t="str">
            <v>-</v>
          </cell>
        </row>
        <row r="35">
          <cell r="B35" t="str">
            <v>업체평가(SES)</v>
          </cell>
          <cell r="C35" t="str">
            <v>SES</v>
          </cell>
        </row>
        <row r="36">
          <cell r="B36" t="str">
            <v>자산관리시스템(고정자산 &amp; 금형자산)</v>
          </cell>
          <cell r="C36" t="str">
            <v>TBS</v>
          </cell>
        </row>
        <row r="37">
          <cell r="B37" t="str">
            <v>NetClient</v>
          </cell>
          <cell r="C37" t="str">
            <v>-</v>
          </cell>
        </row>
        <row r="38">
          <cell r="B38" t="str">
            <v>NetClient(해외)</v>
          </cell>
          <cell r="C38" t="str">
            <v>-</v>
          </cell>
        </row>
        <row r="39">
          <cell r="B39" t="str">
            <v>금형생산</v>
          </cell>
          <cell r="C39" t="str">
            <v>MPMES</v>
          </cell>
        </row>
        <row r="40">
          <cell r="B40" t="str">
            <v>BIDDING</v>
          </cell>
          <cell r="C40" t="str">
            <v>BIDDING</v>
          </cell>
        </row>
        <row r="41">
          <cell r="B41" t="str">
            <v xml:space="preserve">FMIS 공용계정 </v>
          </cell>
          <cell r="C41" t="str">
            <v>-</v>
          </cell>
        </row>
        <row r="42">
          <cell r="B42" t="str">
            <v>유해물질관리+물질정보</v>
          </cell>
          <cell r="C42" t="str">
            <v>MADAMS</v>
          </cell>
        </row>
        <row r="43">
          <cell r="B43" t="str">
            <v>인증관리</v>
          </cell>
          <cell r="C43" t="str">
            <v>CERTI</v>
          </cell>
        </row>
        <row r="44">
          <cell r="B44" t="str">
            <v>성적서관리(TRM)</v>
          </cell>
          <cell r="C44" t="str">
            <v>TRM</v>
          </cell>
        </row>
        <row r="45">
          <cell r="B45" t="str">
            <v>Cloud</v>
          </cell>
          <cell r="C45" t="str">
            <v>-</v>
          </cell>
        </row>
        <row r="46">
          <cell r="B46" t="str">
            <v>MES Dashboard</v>
          </cell>
          <cell r="C46" t="str">
            <v>MESD</v>
          </cell>
        </row>
        <row r="47">
          <cell r="B47" t="str">
            <v>SSO</v>
          </cell>
          <cell r="C47" t="str">
            <v>SSO</v>
          </cell>
        </row>
        <row r="48">
          <cell r="B48" t="str">
            <v xml:space="preserve">통합보안모니터링 </v>
          </cell>
          <cell r="C48" t="str">
            <v>-</v>
          </cell>
        </row>
        <row r="49">
          <cell r="B49" t="str">
            <v>RTY+MES-RTY</v>
          </cell>
          <cell r="C49" t="str">
            <v>RTY</v>
          </cell>
        </row>
        <row r="50">
          <cell r="B50" t="str">
            <v>고객관리(CRM)</v>
          </cell>
          <cell r="C50" t="str">
            <v>-</v>
          </cell>
        </row>
        <row r="51">
          <cell r="B51" t="str">
            <v>내부회계관리(EICM)</v>
          </cell>
          <cell r="C51" t="str">
            <v>EICM</v>
          </cell>
        </row>
        <row r="52">
          <cell r="B52" t="str">
            <v>보세시스템(유한테크노스)</v>
          </cell>
          <cell r="C52" t="str">
            <v>-</v>
          </cell>
        </row>
        <row r="53">
          <cell r="B53" t="str">
            <v>분쟁광물</v>
          </cell>
          <cell r="C53" t="str">
            <v>CM</v>
          </cell>
        </row>
        <row r="54">
          <cell r="B54" t="str">
            <v>공무관리시스템</v>
          </cell>
          <cell r="C54" t="str">
            <v>FEM</v>
          </cell>
        </row>
        <row r="55">
          <cell r="B55" t="str">
            <v>홈페이지</v>
          </cell>
          <cell r="C55" t="str">
            <v>-</v>
          </cell>
        </row>
        <row r="56">
          <cell r="B56" t="str">
            <v>Salesforce</v>
          </cell>
          <cell r="C56" t="str">
            <v>-</v>
          </cell>
        </row>
        <row r="57">
          <cell r="B57" t="str">
            <v>부실예측</v>
          </cell>
          <cell r="C57" t="str">
            <v>ARMS</v>
          </cell>
        </row>
        <row r="58">
          <cell r="B58" t="str">
            <v>연구소사업계획(e-Info)</v>
          </cell>
          <cell r="C58" t="str">
            <v>EINFO</v>
          </cell>
        </row>
        <row r="59">
          <cell r="B59" t="str">
            <v>사고채권</v>
          </cell>
          <cell r="C59" t="str">
            <v>ECS</v>
          </cell>
        </row>
        <row r="60">
          <cell r="B60" t="str">
            <v>전자세금계산서(ETAX)</v>
          </cell>
          <cell r="C60" t="str">
            <v>ETAX</v>
          </cell>
        </row>
        <row r="61">
          <cell r="B61" t="str">
            <v>제안</v>
          </cell>
          <cell r="C61" t="str">
            <v>SUG</v>
          </cell>
        </row>
        <row r="62">
          <cell r="B62" t="str">
            <v>혁신(i-Space)</v>
          </cell>
          <cell r="C62" t="str">
            <v>ISPACE</v>
          </cell>
        </row>
        <row r="63">
          <cell r="B63" t="str">
            <v>Product Finder</v>
          </cell>
          <cell r="C63" t="str">
            <v>PFD</v>
          </cell>
        </row>
        <row r="64">
          <cell r="B64" t="str">
            <v>FMEA</v>
          </cell>
          <cell r="C64" t="str">
            <v>FMEA</v>
          </cell>
        </row>
        <row r="65">
          <cell r="B65" t="str">
            <v>기술지도</v>
          </cell>
          <cell r="C65" t="str">
            <v>TECHMAP</v>
          </cell>
        </row>
        <row r="66">
          <cell r="B66" t="str">
            <v>메타관리</v>
          </cell>
          <cell r="C66" t="str">
            <v>AMMS</v>
          </cell>
        </row>
        <row r="67">
          <cell r="B67" t="str">
            <v>E2E 시스템</v>
          </cell>
          <cell r="C67" t="str">
            <v>-</v>
          </cell>
        </row>
        <row r="68">
          <cell r="B68" t="str">
            <v>R&amp;D사업계획</v>
          </cell>
          <cell r="C68" t="str">
            <v>RNDEBP</v>
          </cell>
        </row>
        <row r="69">
          <cell r="B69" t="str">
            <v>이베스트</v>
          </cell>
          <cell r="C69" t="str">
            <v>EBEST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temDescriptionCheckERP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RP_0154"/>
    </sheetNames>
    <sheetDataSet>
      <sheetData sheetId="0"/>
      <sheetData sheetId="1">
        <row r="3">
          <cell r="B3" t="str">
            <v>Partner Portal (WEB VAN)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"/>
  <sheetViews>
    <sheetView tabSelected="1" zoomScale="85" zoomScaleNormal="85" workbookViewId="0">
      <selection activeCell="B16" sqref="B16:C16"/>
    </sheetView>
  </sheetViews>
  <sheetFormatPr defaultColWidth="9" defaultRowHeight="16.5" x14ac:dyDescent="0.3"/>
  <cols>
    <col min="1" max="16384" width="9" style="9"/>
  </cols>
  <sheetData>
    <row r="1" spans="1:24" ht="26.25" x14ac:dyDescent="0.3">
      <c r="A1" s="97" t="s">
        <v>21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7.25" x14ac:dyDescent="0.3">
      <c r="A3" s="10"/>
      <c r="B3" s="11" t="s">
        <v>22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8" thickBot="1" x14ac:dyDescent="0.35">
      <c r="A4" s="10"/>
      <c r="B4" s="12" t="s">
        <v>23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 t="s">
        <v>24</v>
      </c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x14ac:dyDescent="0.3">
      <c r="A5" s="10"/>
      <c r="B5" s="98" t="s">
        <v>25</v>
      </c>
      <c r="C5" s="99"/>
      <c r="D5" s="100" t="s">
        <v>26</v>
      </c>
      <c r="E5" s="99"/>
      <c r="F5" s="100" t="s">
        <v>22</v>
      </c>
      <c r="G5" s="101"/>
      <c r="H5" s="101"/>
      <c r="I5" s="101"/>
      <c r="J5" s="99"/>
      <c r="K5" s="100" t="s">
        <v>27</v>
      </c>
      <c r="L5" s="102"/>
      <c r="M5" s="10"/>
      <c r="N5" s="98" t="s">
        <v>25</v>
      </c>
      <c r="O5" s="99"/>
      <c r="P5" s="100" t="s">
        <v>26</v>
      </c>
      <c r="Q5" s="99"/>
      <c r="R5" s="100" t="s">
        <v>22</v>
      </c>
      <c r="S5" s="101"/>
      <c r="T5" s="101"/>
      <c r="U5" s="101"/>
      <c r="V5" s="99"/>
      <c r="W5" s="100" t="s">
        <v>27</v>
      </c>
      <c r="X5" s="102"/>
    </row>
    <row r="6" spans="1:24" x14ac:dyDescent="0.3">
      <c r="A6" s="10"/>
      <c r="B6" s="103" t="s">
        <v>288</v>
      </c>
      <c r="C6" s="104"/>
      <c r="D6" s="105" t="s">
        <v>194</v>
      </c>
      <c r="E6" s="104"/>
      <c r="F6" s="106" t="s">
        <v>195</v>
      </c>
      <c r="G6" s="107"/>
      <c r="H6" s="107"/>
      <c r="I6" s="107"/>
      <c r="J6" s="108"/>
      <c r="K6" s="105">
        <v>0.1</v>
      </c>
      <c r="L6" s="109"/>
      <c r="M6" s="10"/>
      <c r="N6" s="103" t="s">
        <v>288</v>
      </c>
      <c r="O6" s="104"/>
      <c r="P6" s="105" t="s">
        <v>289</v>
      </c>
      <c r="Q6" s="104"/>
      <c r="R6" s="106" t="s">
        <v>195</v>
      </c>
      <c r="S6" s="107"/>
      <c r="T6" s="107"/>
      <c r="U6" s="107"/>
      <c r="V6" s="108"/>
      <c r="W6" s="105">
        <v>0.1</v>
      </c>
      <c r="X6" s="109"/>
    </row>
    <row r="7" spans="1:24" x14ac:dyDescent="0.3">
      <c r="A7" s="10"/>
      <c r="B7" s="103"/>
      <c r="C7" s="104"/>
      <c r="D7" s="105"/>
      <c r="E7" s="104"/>
      <c r="F7" s="106"/>
      <c r="G7" s="107"/>
      <c r="H7" s="107"/>
      <c r="I7" s="107"/>
      <c r="J7" s="108"/>
      <c r="K7" s="105"/>
      <c r="L7" s="109"/>
      <c r="M7" s="10"/>
      <c r="N7" s="103"/>
      <c r="O7" s="104"/>
      <c r="P7" s="105"/>
      <c r="Q7" s="104"/>
      <c r="R7" s="106"/>
      <c r="S7" s="107"/>
      <c r="T7" s="107"/>
      <c r="U7" s="107"/>
      <c r="V7" s="108"/>
      <c r="W7" s="105"/>
      <c r="X7" s="109"/>
    </row>
    <row r="8" spans="1:24" x14ac:dyDescent="0.3">
      <c r="A8" s="10"/>
      <c r="B8" s="103"/>
      <c r="C8" s="104"/>
      <c r="D8" s="105"/>
      <c r="E8" s="104"/>
      <c r="F8" s="110"/>
      <c r="G8" s="107"/>
      <c r="H8" s="107"/>
      <c r="I8" s="107"/>
      <c r="J8" s="108"/>
      <c r="K8" s="111"/>
      <c r="L8" s="112"/>
      <c r="M8" s="10"/>
      <c r="N8" s="103"/>
      <c r="O8" s="104"/>
      <c r="P8" s="105"/>
      <c r="Q8" s="104"/>
      <c r="R8" s="110"/>
      <c r="S8" s="107"/>
      <c r="T8" s="107"/>
      <c r="U8" s="107"/>
      <c r="V8" s="108"/>
      <c r="W8" s="111"/>
      <c r="X8" s="112"/>
    </row>
    <row r="9" spans="1:24" x14ac:dyDescent="0.3">
      <c r="A9" s="10"/>
      <c r="B9" s="103"/>
      <c r="C9" s="104"/>
      <c r="D9" s="105"/>
      <c r="E9" s="104"/>
      <c r="F9" s="110"/>
      <c r="G9" s="107"/>
      <c r="H9" s="107"/>
      <c r="I9" s="107"/>
      <c r="J9" s="108"/>
      <c r="K9" s="111"/>
      <c r="L9" s="112"/>
      <c r="M9" s="10"/>
      <c r="N9" s="103"/>
      <c r="O9" s="104"/>
      <c r="P9" s="105"/>
      <c r="Q9" s="104"/>
      <c r="R9" s="110"/>
      <c r="S9" s="107"/>
      <c r="T9" s="107"/>
      <c r="U9" s="107"/>
      <c r="V9" s="108"/>
      <c r="W9" s="111"/>
      <c r="X9" s="112"/>
    </row>
    <row r="13" spans="1:24" ht="18" thickBot="1" x14ac:dyDescent="0.35">
      <c r="B13" s="12" t="s">
        <v>189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24" x14ac:dyDescent="0.3">
      <c r="B14" s="98" t="s">
        <v>25</v>
      </c>
      <c r="C14" s="99"/>
      <c r="D14" s="100" t="s">
        <v>26</v>
      </c>
      <c r="E14" s="99"/>
      <c r="F14" s="100" t="s">
        <v>22</v>
      </c>
      <c r="G14" s="101"/>
      <c r="H14" s="101"/>
      <c r="I14" s="101"/>
      <c r="J14" s="99"/>
      <c r="K14" s="100" t="s">
        <v>27</v>
      </c>
      <c r="L14" s="102"/>
    </row>
    <row r="15" spans="1:24" x14ac:dyDescent="0.3">
      <c r="B15" s="103" t="s">
        <v>293</v>
      </c>
      <c r="C15" s="104"/>
      <c r="D15" s="105" t="s">
        <v>294</v>
      </c>
      <c r="E15" s="104"/>
      <c r="F15" s="106" t="s">
        <v>295</v>
      </c>
      <c r="G15" s="107"/>
      <c r="H15" s="107"/>
      <c r="I15" s="107"/>
      <c r="J15" s="108"/>
      <c r="K15" s="105">
        <v>0.2</v>
      </c>
      <c r="L15" s="109"/>
    </row>
    <row r="16" spans="1:24" x14ac:dyDescent="0.3">
      <c r="B16" s="103"/>
      <c r="C16" s="104"/>
      <c r="D16" s="105"/>
      <c r="E16" s="104"/>
      <c r="F16" s="106"/>
      <c r="G16" s="107"/>
      <c r="H16" s="107"/>
      <c r="I16" s="107"/>
      <c r="J16" s="108"/>
      <c r="K16" s="105"/>
      <c r="L16" s="109"/>
    </row>
    <row r="17" spans="2:12" x14ac:dyDescent="0.3">
      <c r="B17" s="103"/>
      <c r="C17" s="104"/>
      <c r="D17" s="105"/>
      <c r="E17" s="104"/>
      <c r="F17" s="110"/>
      <c r="G17" s="107"/>
      <c r="H17" s="107"/>
      <c r="I17" s="107"/>
      <c r="J17" s="108"/>
      <c r="K17" s="111"/>
      <c r="L17" s="112"/>
    </row>
    <row r="18" spans="2:12" x14ac:dyDescent="0.3">
      <c r="B18" s="103"/>
      <c r="C18" s="104"/>
      <c r="D18" s="105"/>
      <c r="E18" s="104"/>
      <c r="F18" s="110"/>
      <c r="G18" s="107"/>
      <c r="H18" s="107"/>
      <c r="I18" s="107"/>
      <c r="J18" s="108"/>
      <c r="K18" s="111"/>
      <c r="L18" s="112"/>
    </row>
  </sheetData>
  <mergeCells count="61">
    <mergeCell ref="B18:C18"/>
    <mergeCell ref="D18:E18"/>
    <mergeCell ref="F18:J18"/>
    <mergeCell ref="K18:L18"/>
    <mergeCell ref="B16:C16"/>
    <mergeCell ref="D16:E16"/>
    <mergeCell ref="F16:J16"/>
    <mergeCell ref="K16:L16"/>
    <mergeCell ref="B17:C17"/>
    <mergeCell ref="D17:E17"/>
    <mergeCell ref="F17:J17"/>
    <mergeCell ref="K17:L17"/>
    <mergeCell ref="B14:C14"/>
    <mergeCell ref="D14:E14"/>
    <mergeCell ref="F14:J14"/>
    <mergeCell ref="K14:L14"/>
    <mergeCell ref="B15:C15"/>
    <mergeCell ref="D15:E15"/>
    <mergeCell ref="F15:J15"/>
    <mergeCell ref="K15:L15"/>
    <mergeCell ref="B9:C9"/>
    <mergeCell ref="D9:E9"/>
    <mergeCell ref="F9:J9"/>
    <mergeCell ref="K9:L9"/>
    <mergeCell ref="N9:O9"/>
    <mergeCell ref="B8:C8"/>
    <mergeCell ref="D8:E8"/>
    <mergeCell ref="F8:J8"/>
    <mergeCell ref="K8:L8"/>
    <mergeCell ref="N8:O8"/>
    <mergeCell ref="P7:Q7"/>
    <mergeCell ref="W7:X7"/>
    <mergeCell ref="R8:V8"/>
    <mergeCell ref="W8:X8"/>
    <mergeCell ref="P9:Q9"/>
    <mergeCell ref="R9:V9"/>
    <mergeCell ref="W9:X9"/>
    <mergeCell ref="P8:Q8"/>
    <mergeCell ref="R7:V7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67"/>
  <sheetViews>
    <sheetView workbookViewId="0">
      <selection activeCell="C14" sqref="C14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9" t="s">
        <v>33</v>
      </c>
      <c r="C2" s="19" t="s">
        <v>40</v>
      </c>
      <c r="E2" s="19" t="s">
        <v>165</v>
      </c>
      <c r="G2" s="19" t="s">
        <v>41</v>
      </c>
      <c r="I2" s="19" t="s">
        <v>170</v>
      </c>
      <c r="K2" s="19" t="s">
        <v>45</v>
      </c>
      <c r="M2" s="19" t="s">
        <v>49</v>
      </c>
    </row>
    <row r="3" spans="2:13" x14ac:dyDescent="0.3">
      <c r="B3" s="20" t="s">
        <v>54</v>
      </c>
      <c r="C3" s="20" t="s">
        <v>55</v>
      </c>
      <c r="E3" s="21" t="s">
        <v>166</v>
      </c>
      <c r="G3" s="21" t="s">
        <v>42</v>
      </c>
      <c r="I3" s="20" t="s">
        <v>171</v>
      </c>
      <c r="K3" s="21" t="s">
        <v>46</v>
      </c>
      <c r="M3" s="21" t="s">
        <v>14</v>
      </c>
    </row>
    <row r="4" spans="2:13" x14ac:dyDescent="0.3">
      <c r="B4" s="20" t="s">
        <v>56</v>
      </c>
      <c r="C4" s="20" t="s">
        <v>57</v>
      </c>
      <c r="E4" s="21" t="s">
        <v>167</v>
      </c>
      <c r="G4" s="21" t="s">
        <v>43</v>
      </c>
      <c r="I4" s="21" t="s">
        <v>172</v>
      </c>
      <c r="K4" s="21" t="s">
        <v>47</v>
      </c>
      <c r="M4" s="21" t="s">
        <v>50</v>
      </c>
    </row>
    <row r="5" spans="2:13" x14ac:dyDescent="0.3">
      <c r="B5" s="20" t="s">
        <v>58</v>
      </c>
      <c r="C5" s="20" t="s">
        <v>59</v>
      </c>
      <c r="E5" s="21" t="s">
        <v>168</v>
      </c>
      <c r="I5" s="21" t="s">
        <v>173</v>
      </c>
      <c r="K5" s="21" t="s">
        <v>48</v>
      </c>
    </row>
    <row r="6" spans="2:13" x14ac:dyDescent="0.3">
      <c r="B6" s="20" t="s">
        <v>60</v>
      </c>
      <c r="C6" s="20" t="s">
        <v>61</v>
      </c>
      <c r="E6" s="21" t="s">
        <v>169</v>
      </c>
      <c r="I6" s="21" t="s">
        <v>174</v>
      </c>
    </row>
    <row r="7" spans="2:13" x14ac:dyDescent="0.3">
      <c r="B7" s="20" t="s">
        <v>62</v>
      </c>
      <c r="C7" s="20" t="s">
        <v>63</v>
      </c>
      <c r="I7" s="21" t="s">
        <v>175</v>
      </c>
    </row>
    <row r="8" spans="2:13" x14ac:dyDescent="0.3">
      <c r="B8" s="20" t="s">
        <v>53</v>
      </c>
      <c r="C8" s="20" t="s">
        <v>20</v>
      </c>
      <c r="I8" s="21" t="s">
        <v>176</v>
      </c>
    </row>
    <row r="9" spans="2:13" x14ac:dyDescent="0.3">
      <c r="B9" s="20" t="s">
        <v>64</v>
      </c>
      <c r="C9" s="20" t="s">
        <v>65</v>
      </c>
      <c r="I9" s="21" t="s">
        <v>177</v>
      </c>
    </row>
    <row r="10" spans="2:13" x14ac:dyDescent="0.3">
      <c r="B10" s="20" t="s">
        <v>66</v>
      </c>
      <c r="C10" s="20" t="s">
        <v>67</v>
      </c>
      <c r="I10" s="21" t="s">
        <v>178</v>
      </c>
    </row>
    <row r="11" spans="2:13" x14ac:dyDescent="0.3">
      <c r="B11" s="20" t="s">
        <v>68</v>
      </c>
      <c r="C11" s="20" t="s">
        <v>69</v>
      </c>
    </row>
    <row r="12" spans="2:13" x14ac:dyDescent="0.3">
      <c r="B12" s="20" t="s">
        <v>70</v>
      </c>
      <c r="C12" s="20" t="s">
        <v>71</v>
      </c>
    </row>
    <row r="13" spans="2:13" x14ac:dyDescent="0.3">
      <c r="B13" s="20" t="s">
        <v>72</v>
      </c>
      <c r="C13" s="20" t="s">
        <v>184</v>
      </c>
    </row>
    <row r="14" spans="2:13" x14ac:dyDescent="0.3">
      <c r="B14" s="20" t="s">
        <v>73</v>
      </c>
      <c r="C14" s="20" t="s">
        <v>74</v>
      </c>
    </row>
    <row r="15" spans="2:13" x14ac:dyDescent="0.3">
      <c r="B15" s="20" t="s">
        <v>75</v>
      </c>
      <c r="C15" s="20" t="s">
        <v>76</v>
      </c>
    </row>
    <row r="16" spans="2:13" x14ac:dyDescent="0.3">
      <c r="B16" s="20" t="s">
        <v>77</v>
      </c>
      <c r="C16" s="20" t="s">
        <v>76</v>
      </c>
    </row>
    <row r="17" spans="2:3" x14ac:dyDescent="0.3">
      <c r="B17" s="20" t="s">
        <v>78</v>
      </c>
      <c r="C17" s="20" t="s">
        <v>79</v>
      </c>
    </row>
    <row r="18" spans="2:3" x14ac:dyDescent="0.3">
      <c r="B18" s="20" t="s">
        <v>80</v>
      </c>
      <c r="C18" s="20" t="s">
        <v>81</v>
      </c>
    </row>
    <row r="19" spans="2:3" x14ac:dyDescent="0.3">
      <c r="B19" s="20" t="s">
        <v>82</v>
      </c>
      <c r="C19" s="20" t="s">
        <v>83</v>
      </c>
    </row>
    <row r="20" spans="2:3" x14ac:dyDescent="0.3">
      <c r="B20" s="20" t="s">
        <v>84</v>
      </c>
      <c r="C20" s="20" t="s">
        <v>85</v>
      </c>
    </row>
    <row r="21" spans="2:3" x14ac:dyDescent="0.3">
      <c r="B21" s="20" t="s">
        <v>86</v>
      </c>
      <c r="C21" s="20" t="s">
        <v>87</v>
      </c>
    </row>
    <row r="22" spans="2:3" x14ac:dyDescent="0.3">
      <c r="B22" s="20" t="s">
        <v>88</v>
      </c>
      <c r="C22" s="20" t="s">
        <v>89</v>
      </c>
    </row>
    <row r="23" spans="2:3" x14ac:dyDescent="0.3">
      <c r="B23" s="20" t="s">
        <v>90</v>
      </c>
      <c r="C23" s="25" t="s">
        <v>91</v>
      </c>
    </row>
    <row r="24" spans="2:3" x14ac:dyDescent="0.3">
      <c r="B24" s="20" t="s">
        <v>92</v>
      </c>
      <c r="C24" s="20" t="s">
        <v>93</v>
      </c>
    </row>
    <row r="25" spans="2:3" x14ac:dyDescent="0.3">
      <c r="B25" s="20" t="s">
        <v>94</v>
      </c>
      <c r="C25" s="20" t="s">
        <v>76</v>
      </c>
    </row>
    <row r="26" spans="2:3" x14ac:dyDescent="0.3">
      <c r="B26" s="20" t="s">
        <v>95</v>
      </c>
      <c r="C26" s="20" t="s">
        <v>96</v>
      </c>
    </row>
    <row r="27" spans="2:3" x14ac:dyDescent="0.3">
      <c r="B27" s="20" t="s">
        <v>97</v>
      </c>
      <c r="C27" s="20" t="s">
        <v>98</v>
      </c>
    </row>
    <row r="28" spans="2:3" x14ac:dyDescent="0.3">
      <c r="B28" s="20" t="s">
        <v>99</v>
      </c>
      <c r="C28" s="20" t="s">
        <v>100</v>
      </c>
    </row>
    <row r="29" spans="2:3" x14ac:dyDescent="0.3">
      <c r="B29" s="20" t="s">
        <v>101</v>
      </c>
      <c r="C29" s="20" t="s">
        <v>102</v>
      </c>
    </row>
    <row r="30" spans="2:3" x14ac:dyDescent="0.3">
      <c r="B30" s="20" t="s">
        <v>103</v>
      </c>
      <c r="C30" s="20" t="s">
        <v>104</v>
      </c>
    </row>
    <row r="31" spans="2:3" x14ac:dyDescent="0.3">
      <c r="B31" s="20" t="s">
        <v>105</v>
      </c>
      <c r="C31" s="20" t="s">
        <v>106</v>
      </c>
    </row>
    <row r="32" spans="2:3" x14ac:dyDescent="0.3">
      <c r="B32" s="20" t="s">
        <v>107</v>
      </c>
      <c r="C32" s="20" t="s">
        <v>76</v>
      </c>
    </row>
    <row r="33" spans="2:3" x14ac:dyDescent="0.3">
      <c r="B33" s="20" t="s">
        <v>108</v>
      </c>
      <c r="C33" s="20" t="s">
        <v>109</v>
      </c>
    </row>
    <row r="34" spans="2:3" x14ac:dyDescent="0.3">
      <c r="B34" s="20" t="s">
        <v>110</v>
      </c>
      <c r="C34" s="20" t="s">
        <v>76</v>
      </c>
    </row>
    <row r="35" spans="2:3" x14ac:dyDescent="0.3">
      <c r="B35" s="20" t="s">
        <v>111</v>
      </c>
      <c r="C35" s="20" t="s">
        <v>112</v>
      </c>
    </row>
    <row r="36" spans="2:3" x14ac:dyDescent="0.3">
      <c r="B36" s="26" t="s">
        <v>113</v>
      </c>
      <c r="C36" s="20" t="s">
        <v>114</v>
      </c>
    </row>
    <row r="37" spans="2:3" x14ac:dyDescent="0.3">
      <c r="B37" s="20" t="s">
        <v>115</v>
      </c>
      <c r="C37" s="20" t="s">
        <v>76</v>
      </c>
    </row>
    <row r="38" spans="2:3" x14ac:dyDescent="0.3">
      <c r="B38" s="20" t="s">
        <v>116</v>
      </c>
      <c r="C38" s="20" t="s">
        <v>76</v>
      </c>
    </row>
    <row r="39" spans="2:3" x14ac:dyDescent="0.3">
      <c r="B39" s="20" t="s">
        <v>117</v>
      </c>
      <c r="C39" s="20" t="s">
        <v>118</v>
      </c>
    </row>
    <row r="40" spans="2:3" x14ac:dyDescent="0.3">
      <c r="B40" s="20" t="s">
        <v>119</v>
      </c>
      <c r="C40" s="20" t="s">
        <v>119</v>
      </c>
    </row>
    <row r="41" spans="2:3" x14ac:dyDescent="0.3">
      <c r="B41" s="26" t="s">
        <v>120</v>
      </c>
      <c r="C41" s="20" t="s">
        <v>76</v>
      </c>
    </row>
    <row r="42" spans="2:3" x14ac:dyDescent="0.3">
      <c r="B42" s="26" t="s">
        <v>121</v>
      </c>
      <c r="C42" s="20" t="s">
        <v>122</v>
      </c>
    </row>
    <row r="43" spans="2:3" x14ac:dyDescent="0.3">
      <c r="B43" s="20" t="s">
        <v>123</v>
      </c>
      <c r="C43" s="20" t="s">
        <v>124</v>
      </c>
    </row>
    <row r="44" spans="2:3" x14ac:dyDescent="0.3">
      <c r="B44" s="20" t="s">
        <v>125</v>
      </c>
      <c r="C44" s="20" t="s">
        <v>126</v>
      </c>
    </row>
    <row r="45" spans="2:3" x14ac:dyDescent="0.3">
      <c r="B45" s="20" t="s">
        <v>127</v>
      </c>
      <c r="C45" s="20" t="s">
        <v>76</v>
      </c>
    </row>
    <row r="46" spans="2:3" x14ac:dyDescent="0.3">
      <c r="B46" s="20" t="s">
        <v>128</v>
      </c>
      <c r="C46" s="20" t="s">
        <v>129</v>
      </c>
    </row>
    <row r="47" spans="2:3" x14ac:dyDescent="0.3">
      <c r="B47" s="20" t="s">
        <v>130</v>
      </c>
      <c r="C47" s="20" t="s">
        <v>131</v>
      </c>
    </row>
    <row r="48" spans="2:3" x14ac:dyDescent="0.3">
      <c r="B48" s="20" t="s">
        <v>132</v>
      </c>
      <c r="C48" s="20" t="s">
        <v>76</v>
      </c>
    </row>
    <row r="49" spans="2:3" x14ac:dyDescent="0.3">
      <c r="B49" s="26" t="s">
        <v>133</v>
      </c>
      <c r="C49" s="20" t="s">
        <v>134</v>
      </c>
    </row>
    <row r="50" spans="2:3" x14ac:dyDescent="0.3">
      <c r="B50" s="20" t="s">
        <v>135</v>
      </c>
      <c r="C50" s="20" t="s">
        <v>76</v>
      </c>
    </row>
    <row r="51" spans="2:3" x14ac:dyDescent="0.3">
      <c r="B51" s="20" t="s">
        <v>136</v>
      </c>
      <c r="C51" s="20" t="s">
        <v>137</v>
      </c>
    </row>
    <row r="52" spans="2:3" x14ac:dyDescent="0.3">
      <c r="B52" s="20" t="s">
        <v>138</v>
      </c>
      <c r="C52" s="20" t="s">
        <v>139</v>
      </c>
    </row>
    <row r="53" spans="2:3" x14ac:dyDescent="0.3">
      <c r="B53" s="20" t="s">
        <v>140</v>
      </c>
      <c r="C53" s="20" t="s">
        <v>141</v>
      </c>
    </row>
    <row r="54" spans="2:3" x14ac:dyDescent="0.3">
      <c r="B54" s="20" t="s">
        <v>142</v>
      </c>
      <c r="C54" s="20" t="s">
        <v>143</v>
      </c>
    </row>
    <row r="55" spans="2:3" x14ac:dyDescent="0.3">
      <c r="B55" s="20" t="s">
        <v>144</v>
      </c>
      <c r="C55" s="20" t="s">
        <v>76</v>
      </c>
    </row>
    <row r="56" spans="2:3" x14ac:dyDescent="0.3">
      <c r="B56" s="20" t="s">
        <v>145</v>
      </c>
      <c r="C56" s="20" t="s">
        <v>76</v>
      </c>
    </row>
    <row r="57" spans="2:3" x14ac:dyDescent="0.3">
      <c r="B57" s="20" t="s">
        <v>146</v>
      </c>
      <c r="C57" s="20" t="s">
        <v>147</v>
      </c>
    </row>
    <row r="58" spans="2:3" x14ac:dyDescent="0.3">
      <c r="B58" s="20" t="s">
        <v>148</v>
      </c>
      <c r="C58" s="20" t="s">
        <v>149</v>
      </c>
    </row>
    <row r="59" spans="2:3" x14ac:dyDescent="0.3">
      <c r="B59" s="20" t="s">
        <v>150</v>
      </c>
      <c r="C59" s="20" t="s">
        <v>91</v>
      </c>
    </row>
    <row r="60" spans="2:3" x14ac:dyDescent="0.3">
      <c r="B60" s="20" t="s">
        <v>151</v>
      </c>
      <c r="C60" s="20" t="s">
        <v>152</v>
      </c>
    </row>
    <row r="61" spans="2:3" x14ac:dyDescent="0.3">
      <c r="B61" s="20" t="s">
        <v>153</v>
      </c>
      <c r="C61" s="20" t="s">
        <v>154</v>
      </c>
    </row>
    <row r="62" spans="2:3" x14ac:dyDescent="0.3">
      <c r="B62" s="20" t="s">
        <v>155</v>
      </c>
      <c r="C62" s="20" t="s">
        <v>156</v>
      </c>
    </row>
    <row r="63" spans="2:3" x14ac:dyDescent="0.3">
      <c r="B63" s="20" t="s">
        <v>157</v>
      </c>
      <c r="C63" s="20" t="s">
        <v>158</v>
      </c>
    </row>
    <row r="64" spans="2:3" x14ac:dyDescent="0.3">
      <c r="B64" s="20" t="s">
        <v>159</v>
      </c>
      <c r="C64" s="20" t="s">
        <v>159</v>
      </c>
    </row>
    <row r="65" spans="2:3" x14ac:dyDescent="0.3">
      <c r="B65" s="20" t="s">
        <v>160</v>
      </c>
      <c r="C65" s="20" t="s">
        <v>161</v>
      </c>
    </row>
    <row r="66" spans="2:3" x14ac:dyDescent="0.3">
      <c r="B66" s="20" t="s">
        <v>162</v>
      </c>
      <c r="C66" s="20" t="s">
        <v>163</v>
      </c>
    </row>
    <row r="67" spans="2:3" x14ac:dyDescent="0.3">
      <c r="B67" s="20" t="s">
        <v>164</v>
      </c>
      <c r="C67" s="20" t="s">
        <v>76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72"/>
  <sheetViews>
    <sheetView topLeftCell="A25" zoomScale="70" zoomScaleNormal="70" workbookViewId="0">
      <selection activeCell="C69" sqref="C69"/>
    </sheetView>
  </sheetViews>
  <sheetFormatPr defaultColWidth="9" defaultRowHeight="16.5" x14ac:dyDescent="0.3"/>
  <cols>
    <col min="1" max="1" width="10.75" style="2" customWidth="1"/>
    <col min="2" max="2" width="10.75" style="2" hidden="1" customWidth="1"/>
    <col min="3" max="3" width="29.875" style="2" customWidth="1"/>
    <col min="4" max="4" width="4.375" style="2" bestFit="1" customWidth="1"/>
    <col min="5" max="5" width="24.125" style="2" bestFit="1" customWidth="1"/>
    <col min="6" max="6" width="4.375" style="2" customWidth="1"/>
    <col min="7" max="7" width="9" style="2" customWidth="1"/>
    <col min="8" max="8" width="13.875" style="2" customWidth="1"/>
    <col min="9" max="9" width="7.75" style="2" bestFit="1" customWidth="1"/>
    <col min="10" max="10" width="22.125" style="2" customWidth="1"/>
    <col min="11" max="11" width="9.375" style="2" bestFit="1" customWidth="1"/>
    <col min="12" max="12" width="12.625" style="2" customWidth="1"/>
    <col min="13" max="13" width="12.625" style="2" hidden="1" customWidth="1"/>
    <col min="14" max="14" width="33.5" style="2" bestFit="1" customWidth="1"/>
    <col min="15" max="15" width="5" style="2" bestFit="1" customWidth="1"/>
    <col min="16" max="16" width="24.125" style="2" bestFit="1" customWidth="1"/>
    <col min="17" max="17" width="5" style="2" bestFit="1" customWidth="1"/>
    <col min="18" max="18" width="9.75" style="2" bestFit="1" customWidth="1"/>
    <col min="19" max="19" width="5.5" style="2" bestFit="1" customWidth="1"/>
    <col min="20" max="20" width="7.75" style="2" bestFit="1" customWidth="1"/>
    <col min="21" max="21" width="18.25" style="2" customWidth="1"/>
    <col min="22" max="22" width="13.75" style="2" bestFit="1" customWidth="1"/>
    <col min="23" max="23" width="6.75" style="2" bestFit="1" customWidth="1"/>
    <col min="24" max="24" width="20" style="2" bestFit="1" customWidth="1"/>
    <col min="25" max="25" width="9" style="2"/>
    <col min="26" max="26" width="13.875" style="2" customWidth="1"/>
    <col min="27" max="28" width="9" style="2"/>
    <col min="29" max="29" width="13" style="2" customWidth="1"/>
    <col min="30" max="16384" width="9" style="2"/>
  </cols>
  <sheetData>
    <row r="2" spans="3:24" ht="44.25" customHeight="1" x14ac:dyDescent="0.3">
      <c r="C2" s="115" t="s">
        <v>29</v>
      </c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</row>
    <row r="3" spans="3:24" x14ac:dyDescent="0.3">
      <c r="C3" s="15" t="s">
        <v>0</v>
      </c>
      <c r="D3" s="117" t="s">
        <v>286</v>
      </c>
      <c r="E3" s="118"/>
      <c r="F3" s="118"/>
      <c r="G3" s="118"/>
      <c r="H3" s="119"/>
      <c r="I3" s="120" t="s">
        <v>1</v>
      </c>
      <c r="J3" s="120"/>
      <c r="K3" s="121" t="s">
        <v>197</v>
      </c>
      <c r="L3" s="122"/>
      <c r="M3" s="43"/>
      <c r="N3" s="22" t="s">
        <v>2</v>
      </c>
      <c r="O3" s="123" t="s">
        <v>198</v>
      </c>
      <c r="P3" s="124"/>
      <c r="Q3" s="124"/>
      <c r="R3" s="124"/>
      <c r="S3" s="124"/>
      <c r="T3" s="124"/>
      <c r="U3" s="125"/>
      <c r="V3" s="22" t="s">
        <v>3</v>
      </c>
      <c r="W3" s="126">
        <v>45323</v>
      </c>
      <c r="X3" s="122"/>
    </row>
    <row r="4" spans="3:24" ht="16.5" customHeight="1" x14ac:dyDescent="0.3">
      <c r="C4" s="15" t="s">
        <v>37</v>
      </c>
      <c r="D4" s="117" t="s">
        <v>183</v>
      </c>
      <c r="E4" s="118"/>
      <c r="F4" s="118"/>
      <c r="G4" s="118"/>
      <c r="H4" s="119"/>
      <c r="I4" s="129" t="s">
        <v>44</v>
      </c>
      <c r="J4" s="130"/>
      <c r="K4" s="123" t="s">
        <v>182</v>
      </c>
      <c r="L4" s="125"/>
      <c r="M4" s="44"/>
      <c r="N4" s="22" t="s">
        <v>4</v>
      </c>
      <c r="O4" s="123" t="s">
        <v>287</v>
      </c>
      <c r="P4" s="124"/>
      <c r="Q4" s="124"/>
      <c r="R4" s="124"/>
      <c r="S4" s="124"/>
      <c r="T4" s="124"/>
      <c r="U4" s="125"/>
      <c r="V4" s="22" t="s">
        <v>5</v>
      </c>
      <c r="W4" s="127"/>
      <c r="X4" s="128"/>
    </row>
    <row r="5" spans="3:24" ht="16.5" customHeight="1" x14ac:dyDescent="0.3">
      <c r="C5" s="23" t="s">
        <v>6</v>
      </c>
      <c r="D5" s="131"/>
      <c r="E5" s="132"/>
      <c r="F5" s="132"/>
      <c r="G5" s="132"/>
      <c r="H5" s="133"/>
      <c r="I5" s="134" t="s">
        <v>19</v>
      </c>
      <c r="J5" s="134"/>
      <c r="K5" s="135"/>
      <c r="L5" s="136"/>
      <c r="M5" s="45"/>
      <c r="N5" s="23" t="s">
        <v>39</v>
      </c>
      <c r="O5" s="137"/>
      <c r="P5" s="138"/>
      <c r="Q5" s="138"/>
      <c r="R5" s="138"/>
      <c r="S5" s="138"/>
      <c r="T5" s="138"/>
      <c r="U5" s="139"/>
      <c r="V5" s="23" t="s">
        <v>38</v>
      </c>
      <c r="W5" s="113"/>
      <c r="X5" s="114"/>
    </row>
    <row r="7" spans="3:24" ht="54" customHeight="1" x14ac:dyDescent="0.3">
      <c r="C7" s="14" t="s">
        <v>51</v>
      </c>
      <c r="D7" s="140" t="s">
        <v>190</v>
      </c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2"/>
    </row>
    <row r="8" spans="3:24" ht="27" customHeight="1" x14ac:dyDescent="0.3">
      <c r="C8" s="14" t="s">
        <v>52</v>
      </c>
      <c r="D8" s="140" t="s">
        <v>191</v>
      </c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2"/>
    </row>
    <row r="10" spans="3:24" ht="38.25" customHeight="1" x14ac:dyDescent="0.3">
      <c r="C10" s="143" t="s">
        <v>28</v>
      </c>
      <c r="D10" s="143"/>
      <c r="E10" s="143"/>
      <c r="F10" s="143"/>
      <c r="G10" s="143"/>
      <c r="H10" s="143"/>
      <c r="I10" s="143"/>
      <c r="J10" s="143"/>
      <c r="K10" s="143"/>
      <c r="L10" s="144"/>
      <c r="M10" s="46"/>
      <c r="N10" s="145" t="s">
        <v>30</v>
      </c>
      <c r="O10" s="143"/>
      <c r="P10" s="143"/>
      <c r="Q10" s="143"/>
      <c r="R10" s="143"/>
      <c r="S10" s="143"/>
      <c r="T10" s="143"/>
      <c r="U10" s="143"/>
      <c r="V10" s="143"/>
      <c r="W10" s="144"/>
      <c r="X10" s="146" t="s">
        <v>13</v>
      </c>
    </row>
    <row r="11" spans="3:24" ht="16.5" customHeight="1" x14ac:dyDescent="0.3">
      <c r="C11" s="147" t="s">
        <v>33</v>
      </c>
      <c r="D11" s="148"/>
      <c r="E11" s="148"/>
      <c r="F11" s="149"/>
      <c r="G11" s="150" t="s">
        <v>253</v>
      </c>
      <c r="H11" s="151"/>
      <c r="I11" s="151"/>
      <c r="J11" s="151"/>
      <c r="K11" s="151"/>
      <c r="L11" s="162"/>
      <c r="M11" s="42"/>
      <c r="N11" s="153" t="s">
        <v>33</v>
      </c>
      <c r="O11" s="148"/>
      <c r="P11" s="148"/>
      <c r="Q11" s="149"/>
      <c r="R11" s="154" t="s">
        <v>179</v>
      </c>
      <c r="S11" s="155"/>
      <c r="T11" s="155"/>
      <c r="U11" s="155"/>
      <c r="V11" s="155"/>
      <c r="W11" s="155"/>
      <c r="X11" s="146"/>
    </row>
    <row r="12" spans="3:24" ht="16.5" customHeight="1" x14ac:dyDescent="0.3">
      <c r="C12" s="147" t="s">
        <v>31</v>
      </c>
      <c r="D12" s="148"/>
      <c r="E12" s="148"/>
      <c r="F12" s="149"/>
      <c r="G12" s="150" t="str">
        <f>VLOOKUP(G11,[1]Code!$B$3:$C$69,2,0)</f>
        <v>DPS</v>
      </c>
      <c r="H12" s="151"/>
      <c r="I12" s="151"/>
      <c r="J12" s="151"/>
      <c r="K12" s="151"/>
      <c r="L12" s="152"/>
      <c r="M12" s="42"/>
      <c r="N12" s="153" t="s">
        <v>31</v>
      </c>
      <c r="O12" s="148"/>
      <c r="P12" s="148"/>
      <c r="Q12" s="149"/>
      <c r="R12" s="154" t="str">
        <f>VLOOKUP(R11,Code!$B$3:$C$67,2,0)</f>
        <v>PMS</v>
      </c>
      <c r="S12" s="155"/>
      <c r="T12" s="155"/>
      <c r="U12" s="155"/>
      <c r="V12" s="155"/>
      <c r="W12" s="155"/>
      <c r="X12" s="146"/>
    </row>
    <row r="13" spans="3:24" ht="16.5" customHeight="1" x14ac:dyDescent="0.3">
      <c r="C13" s="147" t="s">
        <v>32</v>
      </c>
      <c r="D13" s="148"/>
      <c r="E13" s="148"/>
      <c r="F13" s="149"/>
      <c r="G13" s="156"/>
      <c r="H13" s="157"/>
      <c r="I13" s="157"/>
      <c r="J13" s="157"/>
      <c r="K13" s="157"/>
      <c r="L13" s="163"/>
      <c r="M13" s="47"/>
      <c r="N13" s="153" t="s">
        <v>32</v>
      </c>
      <c r="O13" s="148"/>
      <c r="P13" s="148"/>
      <c r="Q13" s="149"/>
      <c r="R13" s="159" t="s">
        <v>180</v>
      </c>
      <c r="S13" s="160"/>
      <c r="T13" s="160"/>
      <c r="U13" s="160"/>
      <c r="V13" s="160"/>
      <c r="W13" s="161"/>
      <c r="X13" s="146"/>
    </row>
    <row r="14" spans="3:24" ht="16.5" customHeight="1" x14ac:dyDescent="0.3">
      <c r="C14" s="134" t="s">
        <v>34</v>
      </c>
      <c r="D14" s="134"/>
      <c r="E14" s="134"/>
      <c r="F14" s="134"/>
      <c r="G14" s="156" t="s">
        <v>285</v>
      </c>
      <c r="H14" s="157"/>
      <c r="I14" s="157"/>
      <c r="J14" s="157"/>
      <c r="K14" s="157"/>
      <c r="L14" s="157"/>
      <c r="M14" s="47"/>
      <c r="N14" s="158" t="s">
        <v>34</v>
      </c>
      <c r="O14" s="134"/>
      <c r="P14" s="134"/>
      <c r="Q14" s="134"/>
      <c r="R14" s="159" t="s">
        <v>205</v>
      </c>
      <c r="S14" s="160"/>
      <c r="T14" s="160"/>
      <c r="U14" s="160"/>
      <c r="V14" s="160"/>
      <c r="W14" s="161"/>
      <c r="X14" s="146"/>
    </row>
    <row r="15" spans="3:24" ht="16.5" customHeight="1" x14ac:dyDescent="0.3">
      <c r="C15" s="134" t="s">
        <v>35</v>
      </c>
      <c r="D15" s="134"/>
      <c r="E15" s="134"/>
      <c r="F15" s="134"/>
      <c r="G15" s="156" t="s">
        <v>168</v>
      </c>
      <c r="H15" s="157"/>
      <c r="I15" s="157"/>
      <c r="J15" s="157"/>
      <c r="K15" s="157"/>
      <c r="L15" s="163"/>
      <c r="M15" s="47"/>
      <c r="N15" s="158" t="s">
        <v>35</v>
      </c>
      <c r="O15" s="134"/>
      <c r="P15" s="134"/>
      <c r="Q15" s="134"/>
      <c r="R15" s="159" t="s">
        <v>166</v>
      </c>
      <c r="S15" s="160"/>
      <c r="T15" s="160"/>
      <c r="U15" s="160"/>
      <c r="V15" s="160"/>
      <c r="W15" s="161"/>
      <c r="X15" s="146"/>
    </row>
    <row r="16" spans="3:24" ht="16.5" customHeight="1" x14ac:dyDescent="0.3">
      <c r="C16" s="174" t="s">
        <v>15</v>
      </c>
      <c r="D16" s="175"/>
      <c r="E16" s="175"/>
      <c r="F16" s="175"/>
      <c r="G16" s="175"/>
      <c r="H16" s="175"/>
      <c r="I16" s="175"/>
      <c r="J16" s="175"/>
      <c r="K16" s="175"/>
      <c r="L16" s="176"/>
      <c r="M16" s="17"/>
      <c r="N16" s="177" t="s">
        <v>16</v>
      </c>
      <c r="O16" s="178"/>
      <c r="P16" s="178"/>
      <c r="Q16" s="178"/>
      <c r="R16" s="178"/>
      <c r="S16" s="178"/>
      <c r="T16" s="178"/>
      <c r="U16" s="178"/>
      <c r="V16" s="178"/>
      <c r="W16" s="178"/>
      <c r="X16" s="146"/>
    </row>
    <row r="17" spans="2:24" ht="16.5" customHeight="1" x14ac:dyDescent="0.3">
      <c r="C17" s="16" t="s">
        <v>18</v>
      </c>
      <c r="D17" s="16" t="s">
        <v>7</v>
      </c>
      <c r="E17" s="16" t="s">
        <v>8</v>
      </c>
      <c r="F17" s="16" t="s">
        <v>9</v>
      </c>
      <c r="G17" s="16" t="s">
        <v>10</v>
      </c>
      <c r="H17" s="16" t="s">
        <v>11</v>
      </c>
      <c r="I17" s="16" t="s">
        <v>36</v>
      </c>
      <c r="J17" s="16" t="s">
        <v>2</v>
      </c>
      <c r="K17" s="16" t="s">
        <v>12</v>
      </c>
      <c r="L17" s="17" t="s">
        <v>17</v>
      </c>
      <c r="M17" s="17"/>
      <c r="N17" s="18" t="s">
        <v>18</v>
      </c>
      <c r="O17" s="24" t="s">
        <v>7</v>
      </c>
      <c r="P17" s="24" t="s">
        <v>8</v>
      </c>
      <c r="Q17" s="24" t="s">
        <v>9</v>
      </c>
      <c r="R17" s="24" t="s">
        <v>10</v>
      </c>
      <c r="S17" s="24" t="s">
        <v>11</v>
      </c>
      <c r="T17" s="16" t="s">
        <v>36</v>
      </c>
      <c r="U17" s="24" t="s">
        <v>2</v>
      </c>
      <c r="V17" s="24" t="s">
        <v>12</v>
      </c>
      <c r="W17" s="29" t="s">
        <v>17</v>
      </c>
      <c r="X17" s="146"/>
    </row>
    <row r="18" spans="2:24" s="5" customFormat="1" x14ac:dyDescent="0.3">
      <c r="B18" s="5" t="s">
        <v>185</v>
      </c>
      <c r="C18" s="49" t="s">
        <v>290</v>
      </c>
      <c r="D18" s="50"/>
      <c r="E18" s="51"/>
      <c r="F18" s="52"/>
      <c r="G18" s="53"/>
      <c r="H18" s="53"/>
      <c r="I18" s="52"/>
      <c r="J18" s="54"/>
      <c r="K18" s="55"/>
      <c r="L18" s="56"/>
      <c r="M18" s="56"/>
      <c r="N18" s="57"/>
      <c r="O18" s="50"/>
      <c r="P18" s="70"/>
      <c r="Q18" s="71"/>
      <c r="R18" s="34"/>
      <c r="S18" s="34"/>
      <c r="T18" s="84"/>
      <c r="U18" s="59"/>
      <c r="V18" s="55"/>
      <c r="W18" s="60"/>
      <c r="X18" s="61"/>
    </row>
    <row r="19" spans="2:24" s="5" customFormat="1" x14ac:dyDescent="0.3">
      <c r="C19" s="62"/>
      <c r="D19" s="52"/>
      <c r="E19" s="63"/>
      <c r="F19" s="52"/>
      <c r="G19" s="53"/>
      <c r="H19" s="53"/>
      <c r="I19" s="52"/>
      <c r="J19" s="54"/>
      <c r="K19" s="55"/>
      <c r="L19" s="56"/>
      <c r="M19" s="56"/>
      <c r="N19" s="64"/>
      <c r="O19" s="50"/>
      <c r="P19" s="58"/>
      <c r="Q19" s="50"/>
      <c r="R19" s="49"/>
      <c r="S19" s="49"/>
      <c r="T19" s="50"/>
      <c r="U19" s="59"/>
      <c r="V19" s="49"/>
      <c r="W19" s="60"/>
      <c r="X19" s="61"/>
    </row>
    <row r="20" spans="2:24" s="5" customFormat="1" x14ac:dyDescent="0.3">
      <c r="C20" s="62"/>
      <c r="D20" s="50"/>
      <c r="E20" s="65"/>
      <c r="F20" s="52"/>
      <c r="G20" s="53"/>
      <c r="H20" s="52"/>
      <c r="I20" s="52"/>
      <c r="J20" s="66"/>
      <c r="K20" s="55"/>
      <c r="L20" s="56"/>
      <c r="M20" s="56"/>
      <c r="N20" s="64"/>
      <c r="O20" s="50"/>
      <c r="P20" s="53"/>
      <c r="Q20" s="60"/>
      <c r="R20" s="61"/>
      <c r="S20" s="53"/>
      <c r="T20" s="52"/>
      <c r="U20" s="53"/>
      <c r="V20" s="49"/>
      <c r="W20" s="60"/>
      <c r="X20" s="61"/>
    </row>
    <row r="21" spans="2:24" s="5" customFormat="1" x14ac:dyDescent="0.3">
      <c r="C21" s="62"/>
      <c r="D21" s="52"/>
      <c r="E21" s="67"/>
      <c r="F21" s="52"/>
      <c r="G21" s="53"/>
      <c r="H21" s="53"/>
      <c r="I21" s="52"/>
      <c r="J21" s="51"/>
      <c r="K21" s="55"/>
      <c r="L21" s="56"/>
      <c r="M21" s="56"/>
      <c r="N21" s="64"/>
      <c r="O21" s="50"/>
      <c r="P21" s="67"/>
      <c r="Q21" s="60"/>
      <c r="R21" s="61"/>
      <c r="S21" s="53"/>
      <c r="T21" s="52"/>
      <c r="U21" s="53"/>
      <c r="V21" s="49"/>
      <c r="W21" s="60"/>
      <c r="X21" s="61"/>
    </row>
    <row r="22" spans="2:24" s="5" customFormat="1" ht="13.5" x14ac:dyDescent="0.3">
      <c r="C22" s="31"/>
      <c r="D22" s="3"/>
      <c r="E22" s="30"/>
      <c r="F22" s="3"/>
      <c r="G22" s="30"/>
      <c r="H22" s="3"/>
      <c r="I22" s="3"/>
      <c r="J22" s="37"/>
      <c r="K22" s="38"/>
      <c r="L22" s="32"/>
      <c r="M22" s="32"/>
      <c r="N22" s="33"/>
      <c r="O22" s="3"/>
      <c r="P22" s="30"/>
      <c r="Q22" s="3"/>
      <c r="R22" s="30"/>
      <c r="S22" s="30"/>
      <c r="T22" s="37"/>
      <c r="U22" s="37"/>
      <c r="V22" s="34"/>
      <c r="W22" s="3"/>
      <c r="X22" s="30"/>
    </row>
    <row r="23" spans="2:24" s="5" customFormat="1" ht="13.5" x14ac:dyDescent="0.3">
      <c r="C23" s="31"/>
      <c r="D23" s="3"/>
      <c r="E23" s="34"/>
      <c r="F23" s="3"/>
      <c r="G23" s="30"/>
      <c r="H23" s="3"/>
      <c r="I23" s="3"/>
      <c r="J23" s="37"/>
      <c r="K23" s="30"/>
      <c r="L23" s="32"/>
      <c r="M23" s="32"/>
      <c r="N23" s="33"/>
      <c r="O23" s="39"/>
      <c r="P23" s="40"/>
      <c r="Q23" s="39"/>
      <c r="R23" s="34"/>
      <c r="S23" s="39"/>
      <c r="T23" s="3"/>
      <c r="U23" s="40"/>
      <c r="V23" s="34"/>
      <c r="W23" s="3"/>
      <c r="X23" s="30"/>
    </row>
    <row r="24" spans="2:24" ht="16.5" customHeight="1" x14ac:dyDescent="0.3">
      <c r="N24" s="27"/>
      <c r="X24" s="28"/>
    </row>
    <row r="25" spans="2:24" ht="16.5" customHeight="1" x14ac:dyDescent="0.3">
      <c r="C25" s="167" t="s">
        <v>16</v>
      </c>
      <c r="D25" s="167"/>
      <c r="E25" s="167"/>
      <c r="F25" s="167"/>
      <c r="G25" s="167"/>
      <c r="H25" s="167"/>
      <c r="I25" s="167"/>
      <c r="J25" s="167"/>
      <c r="K25" s="167"/>
      <c r="L25" s="168"/>
      <c r="M25" s="41"/>
      <c r="N25" s="169" t="s">
        <v>15</v>
      </c>
      <c r="O25" s="170"/>
      <c r="P25" s="170"/>
      <c r="Q25" s="170"/>
      <c r="R25" s="170"/>
      <c r="S25" s="170"/>
      <c r="T25" s="170"/>
      <c r="U25" s="170"/>
      <c r="V25" s="170"/>
      <c r="W25" s="171"/>
      <c r="X25" s="172" t="s">
        <v>13</v>
      </c>
    </row>
    <row r="26" spans="2:24" ht="16.5" customHeight="1" x14ac:dyDescent="0.3">
      <c r="C26" s="16" t="s">
        <v>18</v>
      </c>
      <c r="D26" s="16" t="s">
        <v>7</v>
      </c>
      <c r="E26" s="16" t="s">
        <v>8</v>
      </c>
      <c r="F26" s="16" t="s">
        <v>9</v>
      </c>
      <c r="G26" s="16" t="s">
        <v>10</v>
      </c>
      <c r="H26" s="16" t="s">
        <v>11</v>
      </c>
      <c r="I26" s="16" t="s">
        <v>36</v>
      </c>
      <c r="J26" s="16" t="s">
        <v>2</v>
      </c>
      <c r="K26" s="16" t="s">
        <v>12</v>
      </c>
      <c r="L26" s="17" t="s">
        <v>17</v>
      </c>
      <c r="M26" s="17"/>
      <c r="N26" s="18" t="s">
        <v>18</v>
      </c>
      <c r="O26" s="24" t="s">
        <v>7</v>
      </c>
      <c r="P26" s="24" t="s">
        <v>8</v>
      </c>
      <c r="Q26" s="24" t="s">
        <v>9</v>
      </c>
      <c r="R26" s="24" t="s">
        <v>10</v>
      </c>
      <c r="S26" s="24" t="s">
        <v>11</v>
      </c>
      <c r="T26" s="16" t="s">
        <v>36</v>
      </c>
      <c r="U26" s="24" t="s">
        <v>2</v>
      </c>
      <c r="V26" s="24" t="s">
        <v>12</v>
      </c>
      <c r="W26" s="24" t="s">
        <v>17</v>
      </c>
      <c r="X26" s="173"/>
    </row>
    <row r="27" spans="2:24" s="1" customFormat="1" ht="16.5" customHeight="1" x14ac:dyDescent="0.3">
      <c r="B27" s="1" t="s">
        <v>186</v>
      </c>
      <c r="C27" s="81" t="s">
        <v>285</v>
      </c>
      <c r="D27" s="39">
        <v>1</v>
      </c>
      <c r="E27" s="34" t="s">
        <v>229</v>
      </c>
      <c r="F27" s="39" t="s">
        <v>14</v>
      </c>
      <c r="G27" s="34" t="s">
        <v>181</v>
      </c>
      <c r="H27" s="34">
        <v>400</v>
      </c>
      <c r="I27" s="84" t="s">
        <v>14</v>
      </c>
      <c r="J27" s="31" t="s">
        <v>230</v>
      </c>
      <c r="K27" s="30"/>
      <c r="L27" s="32"/>
      <c r="M27" s="32" t="s">
        <v>196</v>
      </c>
      <c r="N27" s="83" t="s">
        <v>205</v>
      </c>
      <c r="O27" s="39">
        <v>1</v>
      </c>
      <c r="P27" s="34" t="s">
        <v>229</v>
      </c>
      <c r="Q27" s="39" t="s">
        <v>193</v>
      </c>
      <c r="R27" s="34" t="s">
        <v>181</v>
      </c>
      <c r="S27" s="34">
        <v>400</v>
      </c>
      <c r="T27" s="84" t="s">
        <v>14</v>
      </c>
      <c r="U27" s="31" t="s">
        <v>230</v>
      </c>
      <c r="V27" s="34"/>
      <c r="W27" s="39"/>
      <c r="X27" s="34"/>
    </row>
    <row r="28" spans="2:24" s="1" customFormat="1" ht="16.5" customHeight="1" x14ac:dyDescent="0.3">
      <c r="B28" s="1" t="s">
        <v>186</v>
      </c>
      <c r="C28" s="81"/>
      <c r="D28" s="39">
        <v>2</v>
      </c>
      <c r="E28" s="34" t="s">
        <v>200</v>
      </c>
      <c r="F28" s="39" t="s">
        <v>14</v>
      </c>
      <c r="G28" s="34" t="s">
        <v>181</v>
      </c>
      <c r="H28" s="34">
        <v>400</v>
      </c>
      <c r="I28" s="84" t="s">
        <v>14</v>
      </c>
      <c r="J28" s="31" t="s">
        <v>226</v>
      </c>
      <c r="K28" s="30"/>
      <c r="L28" s="32"/>
      <c r="M28" s="32" t="s">
        <v>196</v>
      </c>
      <c r="N28" s="83"/>
      <c r="O28" s="39">
        <v>2</v>
      </c>
      <c r="P28" s="34" t="s">
        <v>200</v>
      </c>
      <c r="Q28" s="39" t="s">
        <v>192</v>
      </c>
      <c r="R28" s="34" t="s">
        <v>181</v>
      </c>
      <c r="S28" s="34">
        <v>400</v>
      </c>
      <c r="T28" s="84" t="s">
        <v>14</v>
      </c>
      <c r="U28" s="31" t="s">
        <v>226</v>
      </c>
      <c r="V28" s="34"/>
      <c r="W28" s="39"/>
      <c r="X28" s="34"/>
    </row>
    <row r="29" spans="2:24" s="1" customFormat="1" ht="16.5" customHeight="1" x14ac:dyDescent="0.3">
      <c r="B29" s="1" t="s">
        <v>186</v>
      </c>
      <c r="C29" s="81"/>
      <c r="D29" s="39">
        <v>3</v>
      </c>
      <c r="E29" s="34" t="s">
        <v>201</v>
      </c>
      <c r="F29" s="39" t="s">
        <v>14</v>
      </c>
      <c r="G29" s="34" t="s">
        <v>181</v>
      </c>
      <c r="H29" s="34">
        <v>400</v>
      </c>
      <c r="I29" s="84" t="s">
        <v>14</v>
      </c>
      <c r="J29" s="31" t="s">
        <v>227</v>
      </c>
      <c r="K29" s="30"/>
      <c r="L29" s="32"/>
      <c r="M29" s="32" t="s">
        <v>196</v>
      </c>
      <c r="N29" s="83"/>
      <c r="O29" s="39">
        <v>3</v>
      </c>
      <c r="P29" s="34" t="s">
        <v>201</v>
      </c>
      <c r="Q29" s="39" t="s">
        <v>192</v>
      </c>
      <c r="R29" s="34" t="s">
        <v>181</v>
      </c>
      <c r="S29" s="34">
        <v>400</v>
      </c>
      <c r="T29" s="84" t="s">
        <v>14</v>
      </c>
      <c r="U29" s="31" t="s">
        <v>227</v>
      </c>
      <c r="V29" s="34"/>
      <c r="W29" s="39"/>
      <c r="X29" s="34"/>
    </row>
    <row r="30" spans="2:24" s="1" customFormat="1" ht="16.5" customHeight="1" x14ac:dyDescent="0.3">
      <c r="B30" s="1" t="s">
        <v>186</v>
      </c>
      <c r="C30" s="81"/>
      <c r="D30" s="39">
        <v>4</v>
      </c>
      <c r="E30" s="34" t="s">
        <v>202</v>
      </c>
      <c r="F30" s="39"/>
      <c r="G30" s="34" t="s">
        <v>181</v>
      </c>
      <c r="H30" s="34">
        <v>400</v>
      </c>
      <c r="I30" s="84" t="s">
        <v>14</v>
      </c>
      <c r="J30" s="31" t="s">
        <v>228</v>
      </c>
      <c r="K30" s="30"/>
      <c r="L30" s="32"/>
      <c r="M30" s="32" t="s">
        <v>196</v>
      </c>
      <c r="N30" s="83"/>
      <c r="O30" s="39">
        <v>4</v>
      </c>
      <c r="P30" s="34" t="s">
        <v>202</v>
      </c>
      <c r="Q30" s="39"/>
      <c r="R30" s="34" t="s">
        <v>181</v>
      </c>
      <c r="S30" s="34">
        <v>400</v>
      </c>
      <c r="T30" s="84" t="s">
        <v>14</v>
      </c>
      <c r="U30" s="31" t="s">
        <v>228</v>
      </c>
      <c r="V30" s="34"/>
      <c r="W30" s="39"/>
      <c r="X30" s="34"/>
    </row>
    <row r="31" spans="2:24" s="1" customFormat="1" ht="16.5" customHeight="1" x14ac:dyDescent="0.3">
      <c r="B31" s="1" t="s">
        <v>186</v>
      </c>
      <c r="C31" s="81"/>
      <c r="D31" s="39">
        <v>5</v>
      </c>
      <c r="E31" s="34" t="s">
        <v>203</v>
      </c>
      <c r="F31" s="39"/>
      <c r="G31" s="34" t="s">
        <v>181</v>
      </c>
      <c r="H31" s="34">
        <v>400</v>
      </c>
      <c r="I31" s="84" t="s">
        <v>14</v>
      </c>
      <c r="J31" s="31" t="s">
        <v>231</v>
      </c>
      <c r="K31" s="30"/>
      <c r="L31" s="32"/>
      <c r="M31" s="32" t="s">
        <v>196</v>
      </c>
      <c r="N31" s="83"/>
      <c r="O31" s="39">
        <v>5</v>
      </c>
      <c r="P31" s="34" t="s">
        <v>203</v>
      </c>
      <c r="Q31" s="39"/>
      <c r="R31" s="34" t="s">
        <v>181</v>
      </c>
      <c r="S31" s="34">
        <v>400</v>
      </c>
      <c r="T31" s="84" t="s">
        <v>14</v>
      </c>
      <c r="U31" s="31" t="s">
        <v>231</v>
      </c>
      <c r="V31" s="34"/>
      <c r="W31" s="39"/>
      <c r="X31" s="34"/>
    </row>
    <row r="32" spans="2:24" s="1" customFormat="1" ht="16.5" customHeight="1" x14ac:dyDescent="0.3">
      <c r="B32" s="1" t="s">
        <v>186</v>
      </c>
      <c r="C32" s="81"/>
      <c r="D32" s="39">
        <v>6</v>
      </c>
      <c r="E32" s="34" t="s">
        <v>204</v>
      </c>
      <c r="F32" s="39"/>
      <c r="G32" s="34" t="s">
        <v>181</v>
      </c>
      <c r="H32" s="34">
        <v>400</v>
      </c>
      <c r="I32" s="84" t="s">
        <v>14</v>
      </c>
      <c r="J32" s="31" t="s">
        <v>232</v>
      </c>
      <c r="K32" s="30"/>
      <c r="L32" s="32"/>
      <c r="M32" s="32" t="s">
        <v>196</v>
      </c>
      <c r="N32" s="83"/>
      <c r="O32" s="39">
        <v>6</v>
      </c>
      <c r="P32" s="34" t="s">
        <v>204</v>
      </c>
      <c r="Q32" s="39"/>
      <c r="R32" s="34" t="s">
        <v>181</v>
      </c>
      <c r="S32" s="34">
        <v>400</v>
      </c>
      <c r="T32" s="84" t="s">
        <v>14</v>
      </c>
      <c r="U32" s="31" t="s">
        <v>232</v>
      </c>
      <c r="V32" s="34"/>
      <c r="W32" s="39"/>
      <c r="X32" s="34"/>
    </row>
    <row r="33" spans="2:24" s="1" customFormat="1" ht="16.5" customHeight="1" x14ac:dyDescent="0.3">
      <c r="B33" s="1" t="s">
        <v>186</v>
      </c>
      <c r="C33" s="81"/>
      <c r="D33" s="39">
        <v>7</v>
      </c>
      <c r="E33" s="34" t="s">
        <v>206</v>
      </c>
      <c r="F33" s="39"/>
      <c r="G33" s="34" t="s">
        <v>181</v>
      </c>
      <c r="H33" s="34">
        <v>400</v>
      </c>
      <c r="I33" s="84" t="s">
        <v>14</v>
      </c>
      <c r="J33" s="31" t="s">
        <v>234</v>
      </c>
      <c r="K33" s="30"/>
      <c r="L33" s="32"/>
      <c r="M33" s="32" t="s">
        <v>196</v>
      </c>
      <c r="N33" s="83"/>
      <c r="O33" s="39">
        <v>7</v>
      </c>
      <c r="P33" s="34" t="s">
        <v>206</v>
      </c>
      <c r="Q33" s="39"/>
      <c r="R33" s="34" t="s">
        <v>181</v>
      </c>
      <c r="S33" s="34">
        <v>400</v>
      </c>
      <c r="T33" s="84" t="s">
        <v>14</v>
      </c>
      <c r="U33" s="31" t="s">
        <v>234</v>
      </c>
      <c r="V33" s="34"/>
      <c r="W33" s="39"/>
      <c r="X33" s="34"/>
    </row>
    <row r="34" spans="2:24" s="1" customFormat="1" ht="16.5" customHeight="1" x14ac:dyDescent="0.3">
      <c r="B34" s="1" t="s">
        <v>186</v>
      </c>
      <c r="C34" s="92"/>
      <c r="D34" s="39">
        <v>8</v>
      </c>
      <c r="E34" s="34" t="s">
        <v>207</v>
      </c>
      <c r="F34" s="39"/>
      <c r="G34" s="34" t="s">
        <v>181</v>
      </c>
      <c r="H34" s="34">
        <v>400</v>
      </c>
      <c r="I34" s="84" t="s">
        <v>14</v>
      </c>
      <c r="J34" s="31" t="s">
        <v>233</v>
      </c>
      <c r="K34" s="70"/>
      <c r="L34" s="72"/>
      <c r="M34" s="32" t="s">
        <v>196</v>
      </c>
      <c r="N34" s="33"/>
      <c r="O34" s="39">
        <v>8</v>
      </c>
      <c r="P34" s="34" t="s">
        <v>207</v>
      </c>
      <c r="Q34" s="39"/>
      <c r="R34" s="34" t="s">
        <v>181</v>
      </c>
      <c r="S34" s="34">
        <v>400</v>
      </c>
      <c r="T34" s="84" t="s">
        <v>14</v>
      </c>
      <c r="U34" s="31" t="s">
        <v>233</v>
      </c>
      <c r="V34" s="70"/>
      <c r="W34" s="71"/>
      <c r="X34" s="68"/>
    </row>
    <row r="35" spans="2:24" s="1" customFormat="1" ht="16.5" customHeight="1" x14ac:dyDescent="0.3">
      <c r="B35" s="1" t="s">
        <v>186</v>
      </c>
      <c r="C35" s="92"/>
      <c r="D35" s="39">
        <v>9</v>
      </c>
      <c r="E35" s="70" t="s">
        <v>208</v>
      </c>
      <c r="F35" s="71"/>
      <c r="G35" s="34" t="s">
        <v>181</v>
      </c>
      <c r="H35" s="34">
        <v>400</v>
      </c>
      <c r="I35" s="84" t="s">
        <v>14</v>
      </c>
      <c r="J35" s="70" t="s">
        <v>235</v>
      </c>
      <c r="K35" s="70"/>
      <c r="L35" s="72"/>
      <c r="M35" s="32" t="s">
        <v>196</v>
      </c>
      <c r="N35" s="33"/>
      <c r="O35" s="39">
        <v>9</v>
      </c>
      <c r="P35" s="70" t="s">
        <v>208</v>
      </c>
      <c r="Q35" s="71"/>
      <c r="R35" s="34" t="s">
        <v>181</v>
      </c>
      <c r="S35" s="34">
        <v>400</v>
      </c>
      <c r="T35" s="84" t="s">
        <v>14</v>
      </c>
      <c r="U35" s="70" t="s">
        <v>235</v>
      </c>
      <c r="V35" s="70"/>
      <c r="W35" s="71"/>
      <c r="X35" s="68"/>
    </row>
    <row r="36" spans="2:24" s="1" customFormat="1" ht="16.5" customHeight="1" x14ac:dyDescent="0.3">
      <c r="B36" s="1" t="s">
        <v>186</v>
      </c>
      <c r="C36" s="92"/>
      <c r="D36" s="39">
        <v>10</v>
      </c>
      <c r="E36" s="70" t="s">
        <v>209</v>
      </c>
      <c r="F36" s="71"/>
      <c r="G36" s="34" t="s">
        <v>181</v>
      </c>
      <c r="H36" s="34">
        <v>400</v>
      </c>
      <c r="I36" s="84" t="s">
        <v>14</v>
      </c>
      <c r="J36" s="70" t="s">
        <v>236</v>
      </c>
      <c r="K36" s="70"/>
      <c r="L36" s="72"/>
      <c r="M36" s="32" t="s">
        <v>196</v>
      </c>
      <c r="N36" s="33"/>
      <c r="O36" s="39">
        <v>10</v>
      </c>
      <c r="P36" s="70" t="s">
        <v>209</v>
      </c>
      <c r="Q36" s="71"/>
      <c r="R36" s="34" t="s">
        <v>181</v>
      </c>
      <c r="S36" s="34">
        <v>400</v>
      </c>
      <c r="T36" s="84" t="s">
        <v>14</v>
      </c>
      <c r="U36" s="70" t="s">
        <v>236</v>
      </c>
      <c r="V36" s="70"/>
      <c r="W36" s="71"/>
      <c r="X36" s="68"/>
    </row>
    <row r="37" spans="2:24" s="1" customFormat="1" ht="16.5" customHeight="1" x14ac:dyDescent="0.3">
      <c r="B37" s="1" t="s">
        <v>186</v>
      </c>
      <c r="C37" s="92"/>
      <c r="D37" s="39">
        <v>11</v>
      </c>
      <c r="E37" s="70" t="s">
        <v>210</v>
      </c>
      <c r="F37" s="71"/>
      <c r="G37" s="34" t="s">
        <v>181</v>
      </c>
      <c r="H37" s="34">
        <v>400</v>
      </c>
      <c r="I37" s="84" t="s">
        <v>14</v>
      </c>
      <c r="J37" s="70" t="s">
        <v>237</v>
      </c>
      <c r="K37" s="70"/>
      <c r="L37" s="72"/>
      <c r="M37" s="32" t="s">
        <v>196</v>
      </c>
      <c r="N37" s="33"/>
      <c r="O37" s="39">
        <v>11</v>
      </c>
      <c r="P37" s="70" t="s">
        <v>210</v>
      </c>
      <c r="Q37" s="71"/>
      <c r="R37" s="34" t="s">
        <v>181</v>
      </c>
      <c r="S37" s="34">
        <v>400</v>
      </c>
      <c r="T37" s="84" t="s">
        <v>14</v>
      </c>
      <c r="U37" s="70" t="s">
        <v>237</v>
      </c>
      <c r="V37" s="70"/>
      <c r="W37" s="71"/>
      <c r="X37" s="68"/>
    </row>
    <row r="38" spans="2:24" s="1" customFormat="1" ht="16.5" customHeight="1" x14ac:dyDescent="0.3">
      <c r="B38" s="1" t="s">
        <v>186</v>
      </c>
      <c r="C38" s="92"/>
      <c r="D38" s="39">
        <v>12</v>
      </c>
      <c r="E38" s="70" t="s">
        <v>211</v>
      </c>
      <c r="F38" s="71"/>
      <c r="G38" s="34" t="s">
        <v>181</v>
      </c>
      <c r="H38" s="34">
        <v>400</v>
      </c>
      <c r="I38" s="84" t="s">
        <v>14</v>
      </c>
      <c r="J38" s="70" t="s">
        <v>238</v>
      </c>
      <c r="K38" s="70"/>
      <c r="L38" s="72"/>
      <c r="M38" s="32" t="s">
        <v>196</v>
      </c>
      <c r="N38" s="33"/>
      <c r="O38" s="39">
        <v>12</v>
      </c>
      <c r="P38" s="70" t="s">
        <v>211</v>
      </c>
      <c r="Q38" s="71"/>
      <c r="R38" s="34" t="s">
        <v>181</v>
      </c>
      <c r="S38" s="34">
        <v>400</v>
      </c>
      <c r="T38" s="84" t="s">
        <v>14</v>
      </c>
      <c r="U38" s="70" t="s">
        <v>238</v>
      </c>
      <c r="V38" s="70"/>
      <c r="W38" s="71"/>
      <c r="X38" s="68"/>
    </row>
    <row r="39" spans="2:24" s="1" customFormat="1" ht="16.5" customHeight="1" x14ac:dyDescent="0.3">
      <c r="B39" s="1" t="s">
        <v>186</v>
      </c>
      <c r="C39" s="92"/>
      <c r="D39" s="39">
        <v>13</v>
      </c>
      <c r="E39" s="70" t="s">
        <v>212</v>
      </c>
      <c r="F39" s="71"/>
      <c r="G39" s="34" t="s">
        <v>181</v>
      </c>
      <c r="H39" s="34">
        <v>400</v>
      </c>
      <c r="I39" s="84" t="s">
        <v>14</v>
      </c>
      <c r="J39" s="70" t="s">
        <v>239</v>
      </c>
      <c r="K39" s="70"/>
      <c r="L39" s="72"/>
      <c r="M39" s="32" t="s">
        <v>196</v>
      </c>
      <c r="N39" s="33"/>
      <c r="O39" s="39">
        <v>13</v>
      </c>
      <c r="P39" s="70" t="s">
        <v>212</v>
      </c>
      <c r="Q39" s="71"/>
      <c r="R39" s="34" t="s">
        <v>181</v>
      </c>
      <c r="S39" s="34">
        <v>400</v>
      </c>
      <c r="T39" s="84" t="s">
        <v>14</v>
      </c>
      <c r="U39" s="70" t="s">
        <v>239</v>
      </c>
      <c r="V39" s="70"/>
      <c r="W39" s="71"/>
      <c r="X39" s="68"/>
    </row>
    <row r="40" spans="2:24" s="1" customFormat="1" ht="16.5" customHeight="1" x14ac:dyDescent="0.3">
      <c r="B40" s="1" t="s">
        <v>186</v>
      </c>
      <c r="C40" s="92"/>
      <c r="D40" s="39">
        <v>14</v>
      </c>
      <c r="E40" s="70" t="s">
        <v>213</v>
      </c>
      <c r="F40" s="71"/>
      <c r="G40" s="34" t="s">
        <v>181</v>
      </c>
      <c r="H40" s="34">
        <v>400</v>
      </c>
      <c r="I40" s="84" t="s">
        <v>14</v>
      </c>
      <c r="J40" s="70" t="s">
        <v>240</v>
      </c>
      <c r="K40" s="70"/>
      <c r="L40" s="72"/>
      <c r="M40" s="32" t="s">
        <v>196</v>
      </c>
      <c r="N40" s="33"/>
      <c r="O40" s="39">
        <v>14</v>
      </c>
      <c r="P40" s="70" t="s">
        <v>213</v>
      </c>
      <c r="Q40" s="71"/>
      <c r="R40" s="34" t="s">
        <v>181</v>
      </c>
      <c r="S40" s="34">
        <v>400</v>
      </c>
      <c r="T40" s="84" t="s">
        <v>14</v>
      </c>
      <c r="U40" s="70" t="s">
        <v>240</v>
      </c>
      <c r="V40" s="70"/>
      <c r="W40" s="71"/>
      <c r="X40" s="68"/>
    </row>
    <row r="41" spans="2:24" s="1" customFormat="1" ht="16.5" customHeight="1" x14ac:dyDescent="0.3">
      <c r="B41" s="1" t="s">
        <v>186</v>
      </c>
      <c r="C41" s="92"/>
      <c r="D41" s="39">
        <v>15</v>
      </c>
      <c r="E41" s="70" t="s">
        <v>214</v>
      </c>
      <c r="F41" s="71"/>
      <c r="G41" s="34" t="s">
        <v>181</v>
      </c>
      <c r="H41" s="34">
        <v>400</v>
      </c>
      <c r="I41" s="84" t="s">
        <v>14</v>
      </c>
      <c r="J41" s="70" t="s">
        <v>241</v>
      </c>
      <c r="K41" s="70"/>
      <c r="L41" s="72"/>
      <c r="M41" s="32" t="s">
        <v>196</v>
      </c>
      <c r="N41" s="33"/>
      <c r="O41" s="39">
        <v>15</v>
      </c>
      <c r="P41" s="70" t="s">
        <v>214</v>
      </c>
      <c r="Q41" s="71"/>
      <c r="R41" s="34" t="s">
        <v>181</v>
      </c>
      <c r="S41" s="34">
        <v>400</v>
      </c>
      <c r="T41" s="84" t="s">
        <v>14</v>
      </c>
      <c r="U41" s="70" t="s">
        <v>241</v>
      </c>
      <c r="V41" s="70"/>
      <c r="W41" s="71"/>
      <c r="X41" s="68"/>
    </row>
    <row r="42" spans="2:24" s="1" customFormat="1" ht="16.5" customHeight="1" x14ac:dyDescent="0.3">
      <c r="B42" s="1" t="s">
        <v>186</v>
      </c>
      <c r="C42" s="92"/>
      <c r="D42" s="39">
        <v>16</v>
      </c>
      <c r="E42" s="70" t="s">
        <v>215</v>
      </c>
      <c r="F42" s="71"/>
      <c r="G42" s="34" t="s">
        <v>181</v>
      </c>
      <c r="H42" s="34">
        <v>400</v>
      </c>
      <c r="I42" s="84" t="s">
        <v>14</v>
      </c>
      <c r="J42" s="70" t="s">
        <v>242</v>
      </c>
      <c r="K42" s="70"/>
      <c r="L42" s="72"/>
      <c r="M42" s="32" t="s">
        <v>196</v>
      </c>
      <c r="N42" s="33"/>
      <c r="O42" s="39">
        <v>16</v>
      </c>
      <c r="P42" s="70" t="s">
        <v>215</v>
      </c>
      <c r="Q42" s="71"/>
      <c r="R42" s="34" t="s">
        <v>181</v>
      </c>
      <c r="S42" s="34">
        <v>400</v>
      </c>
      <c r="T42" s="84" t="s">
        <v>14</v>
      </c>
      <c r="U42" s="70" t="s">
        <v>242</v>
      </c>
      <c r="V42" s="70"/>
      <c r="W42" s="71"/>
      <c r="X42" s="68"/>
    </row>
    <row r="43" spans="2:24" s="1" customFormat="1" ht="16.5" customHeight="1" x14ac:dyDescent="0.3">
      <c r="B43" s="1" t="s">
        <v>186</v>
      </c>
      <c r="C43" s="92"/>
      <c r="D43" s="39">
        <v>17</v>
      </c>
      <c r="E43" s="70" t="s">
        <v>216</v>
      </c>
      <c r="F43" s="71"/>
      <c r="G43" s="34" t="s">
        <v>181</v>
      </c>
      <c r="H43" s="34">
        <v>400</v>
      </c>
      <c r="I43" s="84" t="s">
        <v>14</v>
      </c>
      <c r="J43" s="70" t="s">
        <v>243</v>
      </c>
      <c r="K43" s="70"/>
      <c r="L43" s="72"/>
      <c r="M43" s="32" t="s">
        <v>196</v>
      </c>
      <c r="N43" s="33"/>
      <c r="O43" s="39">
        <v>17</v>
      </c>
      <c r="P43" s="70" t="s">
        <v>216</v>
      </c>
      <c r="Q43" s="71"/>
      <c r="R43" s="34" t="s">
        <v>181</v>
      </c>
      <c r="S43" s="34">
        <v>400</v>
      </c>
      <c r="T43" s="84" t="s">
        <v>14</v>
      </c>
      <c r="U43" s="70" t="s">
        <v>243</v>
      </c>
      <c r="V43" s="70"/>
      <c r="W43" s="71"/>
      <c r="X43" s="68"/>
    </row>
    <row r="44" spans="2:24" s="1" customFormat="1" ht="16.5" customHeight="1" x14ac:dyDescent="0.3">
      <c r="B44" s="1" t="s">
        <v>186</v>
      </c>
      <c r="C44" s="92"/>
      <c r="D44" s="39">
        <v>18</v>
      </c>
      <c r="E44" s="70" t="s">
        <v>217</v>
      </c>
      <c r="F44" s="71"/>
      <c r="G44" s="34" t="s">
        <v>181</v>
      </c>
      <c r="H44" s="34">
        <v>400</v>
      </c>
      <c r="I44" s="84" t="s">
        <v>14</v>
      </c>
      <c r="J44" s="70" t="s">
        <v>244</v>
      </c>
      <c r="K44" s="70"/>
      <c r="L44" s="72"/>
      <c r="M44" s="32" t="s">
        <v>196</v>
      </c>
      <c r="N44" s="33"/>
      <c r="O44" s="39">
        <v>18</v>
      </c>
      <c r="P44" s="70" t="s">
        <v>217</v>
      </c>
      <c r="Q44" s="71"/>
      <c r="R44" s="34" t="s">
        <v>181</v>
      </c>
      <c r="S44" s="34">
        <v>400</v>
      </c>
      <c r="T44" s="84" t="s">
        <v>14</v>
      </c>
      <c r="U44" s="70" t="s">
        <v>244</v>
      </c>
      <c r="V44" s="70"/>
      <c r="W44" s="71"/>
      <c r="X44" s="68"/>
    </row>
    <row r="45" spans="2:24" s="1" customFormat="1" ht="16.5" customHeight="1" x14ac:dyDescent="0.3">
      <c r="B45" s="1" t="s">
        <v>186</v>
      </c>
      <c r="C45" s="92"/>
      <c r="D45" s="39">
        <v>19</v>
      </c>
      <c r="E45" s="70" t="s">
        <v>218</v>
      </c>
      <c r="F45" s="71"/>
      <c r="G45" s="34" t="s">
        <v>181</v>
      </c>
      <c r="H45" s="34">
        <v>400</v>
      </c>
      <c r="I45" s="84" t="s">
        <v>14</v>
      </c>
      <c r="J45" s="70" t="s">
        <v>245</v>
      </c>
      <c r="K45" s="70"/>
      <c r="L45" s="72"/>
      <c r="M45" s="32" t="s">
        <v>196</v>
      </c>
      <c r="N45" s="33"/>
      <c r="O45" s="39">
        <v>19</v>
      </c>
      <c r="P45" s="70" t="s">
        <v>218</v>
      </c>
      <c r="Q45" s="71"/>
      <c r="R45" s="34" t="s">
        <v>181</v>
      </c>
      <c r="S45" s="34">
        <v>400</v>
      </c>
      <c r="T45" s="84" t="s">
        <v>14</v>
      </c>
      <c r="U45" s="70" t="s">
        <v>245</v>
      </c>
      <c r="V45" s="70"/>
      <c r="W45" s="71"/>
      <c r="X45" s="68"/>
    </row>
    <row r="46" spans="2:24" s="1" customFormat="1" ht="16.5" customHeight="1" x14ac:dyDescent="0.3">
      <c r="B46" s="1" t="s">
        <v>186</v>
      </c>
      <c r="C46" s="92"/>
      <c r="D46" s="39">
        <v>20</v>
      </c>
      <c r="E46" s="70" t="s">
        <v>219</v>
      </c>
      <c r="F46" s="71"/>
      <c r="G46" s="34" t="s">
        <v>181</v>
      </c>
      <c r="H46" s="34">
        <v>400</v>
      </c>
      <c r="I46" s="84" t="s">
        <v>14</v>
      </c>
      <c r="J46" s="70" t="s">
        <v>246</v>
      </c>
      <c r="K46" s="70"/>
      <c r="L46" s="72"/>
      <c r="M46" s="32" t="s">
        <v>196</v>
      </c>
      <c r="N46" s="33"/>
      <c r="O46" s="39">
        <v>20</v>
      </c>
      <c r="P46" s="70" t="s">
        <v>219</v>
      </c>
      <c r="Q46" s="71"/>
      <c r="R46" s="34" t="s">
        <v>181</v>
      </c>
      <c r="S46" s="34">
        <v>400</v>
      </c>
      <c r="T46" s="84" t="s">
        <v>14</v>
      </c>
      <c r="U46" s="70" t="s">
        <v>246</v>
      </c>
      <c r="V46" s="70"/>
      <c r="W46" s="71"/>
      <c r="X46" s="68"/>
    </row>
    <row r="47" spans="2:24" s="1" customFormat="1" ht="16.5" customHeight="1" x14ac:dyDescent="0.3">
      <c r="B47" s="1" t="s">
        <v>186</v>
      </c>
      <c r="C47" s="92"/>
      <c r="D47" s="39">
        <v>21</v>
      </c>
      <c r="E47" s="70" t="s">
        <v>220</v>
      </c>
      <c r="F47" s="71"/>
      <c r="G47" s="34" t="s">
        <v>181</v>
      </c>
      <c r="H47" s="34">
        <v>400</v>
      </c>
      <c r="I47" s="84" t="s">
        <v>14</v>
      </c>
      <c r="J47" s="70" t="s">
        <v>247</v>
      </c>
      <c r="K47" s="70"/>
      <c r="L47" s="72"/>
      <c r="M47" s="32" t="s">
        <v>196</v>
      </c>
      <c r="N47" s="33"/>
      <c r="O47" s="39">
        <v>21</v>
      </c>
      <c r="P47" s="70" t="s">
        <v>220</v>
      </c>
      <c r="Q47" s="71"/>
      <c r="R47" s="34" t="s">
        <v>181</v>
      </c>
      <c r="S47" s="34">
        <v>400</v>
      </c>
      <c r="T47" s="84" t="s">
        <v>14</v>
      </c>
      <c r="U47" s="70" t="s">
        <v>247</v>
      </c>
      <c r="V47" s="70"/>
      <c r="W47" s="71"/>
      <c r="X47" s="68"/>
    </row>
    <row r="48" spans="2:24" s="1" customFormat="1" ht="16.5" customHeight="1" x14ac:dyDescent="0.3">
      <c r="B48" s="1" t="s">
        <v>186</v>
      </c>
      <c r="C48" s="92"/>
      <c r="D48" s="39">
        <v>22</v>
      </c>
      <c r="E48" s="70" t="s">
        <v>221</v>
      </c>
      <c r="F48" s="71"/>
      <c r="G48" s="34" t="s">
        <v>181</v>
      </c>
      <c r="H48" s="34">
        <v>400</v>
      </c>
      <c r="I48" s="84" t="s">
        <v>14</v>
      </c>
      <c r="J48" s="70" t="s">
        <v>248</v>
      </c>
      <c r="K48" s="87"/>
      <c r="L48" s="90"/>
      <c r="M48" s="32" t="s">
        <v>196</v>
      </c>
      <c r="N48" s="33"/>
      <c r="O48" s="39">
        <v>22</v>
      </c>
      <c r="P48" s="70" t="s">
        <v>221</v>
      </c>
      <c r="Q48" s="71"/>
      <c r="R48" s="34" t="s">
        <v>181</v>
      </c>
      <c r="S48" s="34">
        <v>400</v>
      </c>
      <c r="T48" s="84" t="s">
        <v>14</v>
      </c>
      <c r="U48" s="70" t="s">
        <v>248</v>
      </c>
      <c r="V48" s="87"/>
      <c r="W48" s="88"/>
      <c r="X48" s="85"/>
    </row>
    <row r="49" spans="2:24" s="1" customFormat="1" ht="16.5" customHeight="1" x14ac:dyDescent="0.3">
      <c r="B49" s="1" t="s">
        <v>186</v>
      </c>
      <c r="C49" s="92"/>
      <c r="D49" s="39">
        <v>23</v>
      </c>
      <c r="E49" s="30" t="s">
        <v>222</v>
      </c>
      <c r="F49" s="88"/>
      <c r="G49" s="34" t="s">
        <v>181</v>
      </c>
      <c r="H49" s="34">
        <v>400</v>
      </c>
      <c r="I49" s="84" t="s">
        <v>14</v>
      </c>
      <c r="J49" s="87" t="s">
        <v>249</v>
      </c>
      <c r="K49" s="87"/>
      <c r="L49" s="90"/>
      <c r="M49" s="32" t="s">
        <v>196</v>
      </c>
      <c r="N49" s="33"/>
      <c r="O49" s="39">
        <v>23</v>
      </c>
      <c r="P49" s="30" t="s">
        <v>222</v>
      </c>
      <c r="Q49" s="88"/>
      <c r="R49" s="34" t="s">
        <v>181</v>
      </c>
      <c r="S49" s="34">
        <v>400</v>
      </c>
      <c r="T49" s="84" t="s">
        <v>14</v>
      </c>
      <c r="U49" s="87" t="s">
        <v>249</v>
      </c>
      <c r="V49" s="87"/>
      <c r="W49" s="88"/>
      <c r="X49" s="85"/>
    </row>
    <row r="50" spans="2:24" s="1" customFormat="1" ht="16.5" customHeight="1" x14ac:dyDescent="0.3">
      <c r="B50" s="1" t="s">
        <v>186</v>
      </c>
      <c r="C50" s="92"/>
      <c r="D50" s="39">
        <v>24</v>
      </c>
      <c r="E50" s="1" t="s">
        <v>223</v>
      </c>
      <c r="F50" s="88"/>
      <c r="G50" s="34" t="s">
        <v>181</v>
      </c>
      <c r="H50" s="34">
        <v>400</v>
      </c>
      <c r="I50" s="84" t="s">
        <v>14</v>
      </c>
      <c r="J50" s="87" t="s">
        <v>250</v>
      </c>
      <c r="K50" s="87"/>
      <c r="L50" s="90"/>
      <c r="M50" s="32" t="s">
        <v>196</v>
      </c>
      <c r="N50" s="33"/>
      <c r="O50" s="39">
        <v>24</v>
      </c>
      <c r="P50" s="1" t="s">
        <v>223</v>
      </c>
      <c r="Q50" s="88"/>
      <c r="R50" s="34" t="s">
        <v>181</v>
      </c>
      <c r="S50" s="34">
        <v>400</v>
      </c>
      <c r="T50" s="84" t="s">
        <v>14</v>
      </c>
      <c r="U50" s="87" t="s">
        <v>250</v>
      </c>
      <c r="V50" s="87"/>
      <c r="W50" s="88"/>
      <c r="X50" s="85"/>
    </row>
    <row r="51" spans="2:24" s="1" customFormat="1" ht="16.5" customHeight="1" x14ac:dyDescent="0.3">
      <c r="B51" s="1" t="s">
        <v>186</v>
      </c>
      <c r="C51" s="92"/>
      <c r="D51" s="39">
        <v>25</v>
      </c>
      <c r="E51" s="87" t="s">
        <v>224</v>
      </c>
      <c r="F51" s="88"/>
      <c r="G51" s="34" t="s">
        <v>181</v>
      </c>
      <c r="H51" s="34">
        <v>400</v>
      </c>
      <c r="I51" s="84" t="s">
        <v>14</v>
      </c>
      <c r="J51" s="87" t="s">
        <v>251</v>
      </c>
      <c r="K51" s="87"/>
      <c r="L51" s="90"/>
      <c r="M51" s="32" t="s">
        <v>196</v>
      </c>
      <c r="N51" s="33"/>
      <c r="O51" s="39">
        <v>25</v>
      </c>
      <c r="P51" s="87" t="s">
        <v>224</v>
      </c>
      <c r="Q51" s="88"/>
      <c r="R51" s="34" t="s">
        <v>181</v>
      </c>
      <c r="S51" s="34">
        <v>400</v>
      </c>
      <c r="T51" s="84" t="s">
        <v>14</v>
      </c>
      <c r="U51" s="87" t="s">
        <v>251</v>
      </c>
      <c r="V51" s="87"/>
      <c r="W51" s="88"/>
      <c r="X51" s="85"/>
    </row>
    <row r="52" spans="2:24" s="1" customFormat="1" ht="16.5" customHeight="1" x14ac:dyDescent="0.3">
      <c r="B52" s="1" t="s">
        <v>186</v>
      </c>
      <c r="C52" s="92"/>
      <c r="D52" s="39">
        <v>26</v>
      </c>
      <c r="E52" s="87" t="s">
        <v>225</v>
      </c>
      <c r="F52" s="88"/>
      <c r="G52" s="34" t="s">
        <v>181</v>
      </c>
      <c r="H52" s="34">
        <v>400</v>
      </c>
      <c r="I52" s="84" t="s">
        <v>14</v>
      </c>
      <c r="J52" s="87" t="s">
        <v>252</v>
      </c>
      <c r="K52" s="87"/>
      <c r="L52" s="90"/>
      <c r="M52" s="32" t="s">
        <v>196</v>
      </c>
      <c r="N52" s="33"/>
      <c r="O52" s="39">
        <v>26</v>
      </c>
      <c r="P52" s="87" t="s">
        <v>225</v>
      </c>
      <c r="Q52" s="88"/>
      <c r="R52" s="34" t="s">
        <v>181</v>
      </c>
      <c r="S52" s="34">
        <v>400</v>
      </c>
      <c r="T52" s="84" t="s">
        <v>14</v>
      </c>
      <c r="U52" s="87" t="s">
        <v>252</v>
      </c>
      <c r="V52" s="87"/>
      <c r="W52" s="88"/>
      <c r="X52" s="85"/>
    </row>
    <row r="53" spans="2:24" s="1" customFormat="1" ht="16.5" customHeight="1" x14ac:dyDescent="0.3">
      <c r="B53" s="1" t="s">
        <v>186</v>
      </c>
      <c r="C53" s="93"/>
      <c r="D53" s="39">
        <v>27</v>
      </c>
      <c r="E53" t="s">
        <v>254</v>
      </c>
      <c r="F53" s="94"/>
      <c r="G53" s="74" t="s">
        <v>255</v>
      </c>
      <c r="H53" s="79">
        <v>1</v>
      </c>
      <c r="I53" s="80" t="s">
        <v>14</v>
      </c>
      <c r="J53" s="81" t="s">
        <v>256</v>
      </c>
      <c r="K53" s="70"/>
      <c r="L53" s="90"/>
      <c r="M53" s="90"/>
      <c r="N53" s="33"/>
      <c r="O53" s="69"/>
      <c r="P53" s="70"/>
      <c r="Q53" s="71"/>
      <c r="R53" s="68"/>
      <c r="S53" s="68"/>
      <c r="T53" s="91"/>
      <c r="U53" s="70"/>
      <c r="V53" s="70"/>
      <c r="W53" s="71"/>
      <c r="X53" s="68"/>
    </row>
    <row r="54" spans="2:24" s="1" customFormat="1" ht="16.5" customHeight="1" x14ac:dyDescent="0.3">
      <c r="B54" s="1" t="s">
        <v>186</v>
      </c>
      <c r="C54" s="93"/>
      <c r="D54" s="39">
        <v>28</v>
      </c>
      <c r="E54" s="68" t="s">
        <v>257</v>
      </c>
      <c r="F54" s="68"/>
      <c r="G54" s="74" t="s">
        <v>255</v>
      </c>
      <c r="H54" s="82">
        <v>36</v>
      </c>
      <c r="I54" s="80" t="s">
        <v>14</v>
      </c>
      <c r="J54" s="81" t="s">
        <v>258</v>
      </c>
      <c r="K54" s="70"/>
      <c r="L54" s="90"/>
      <c r="M54" s="90"/>
      <c r="N54" s="33"/>
      <c r="O54" s="69"/>
      <c r="P54" s="70"/>
      <c r="Q54" s="71"/>
      <c r="R54" s="68"/>
      <c r="S54" s="68"/>
      <c r="T54" s="91"/>
      <c r="U54" s="70"/>
      <c r="V54" s="70"/>
      <c r="W54" s="71"/>
      <c r="X54" s="68"/>
    </row>
    <row r="55" spans="2:24" s="1" customFormat="1" ht="16.5" customHeight="1" x14ac:dyDescent="0.3">
      <c r="B55" s="1" t="s">
        <v>186</v>
      </c>
      <c r="C55" s="93"/>
      <c r="D55" s="39">
        <v>29</v>
      </c>
      <c r="E55" s="68" t="s">
        <v>259</v>
      </c>
      <c r="F55" s="68"/>
      <c r="G55" s="74" t="s">
        <v>260</v>
      </c>
      <c r="H55" s="82"/>
      <c r="I55" s="80" t="s">
        <v>14</v>
      </c>
      <c r="J55" s="81" t="s">
        <v>261</v>
      </c>
      <c r="K55" s="70"/>
      <c r="L55" s="90"/>
      <c r="M55" s="90"/>
      <c r="N55" s="33"/>
      <c r="O55" s="69"/>
      <c r="P55" s="70"/>
      <c r="Q55" s="71"/>
      <c r="R55" s="68"/>
      <c r="S55" s="68"/>
      <c r="T55" s="91"/>
      <c r="U55" s="70"/>
      <c r="V55" s="70"/>
      <c r="W55" s="71"/>
      <c r="X55" s="68"/>
    </row>
    <row r="56" spans="2:24" s="1" customFormat="1" ht="16.5" customHeight="1" x14ac:dyDescent="0.3">
      <c r="C56" s="93"/>
      <c r="D56" s="71"/>
      <c r="E56" s="73"/>
      <c r="F56" s="71"/>
      <c r="G56" s="74"/>
      <c r="H56" s="77"/>
      <c r="I56" s="76"/>
      <c r="J56" s="95"/>
      <c r="K56" s="70"/>
      <c r="L56" s="90"/>
      <c r="M56" s="90"/>
      <c r="N56" s="33"/>
      <c r="O56" s="69"/>
      <c r="P56" s="70"/>
      <c r="Q56" s="71"/>
      <c r="R56" s="68"/>
      <c r="S56" s="68"/>
      <c r="T56" s="91"/>
      <c r="U56" s="70"/>
      <c r="V56" s="70"/>
      <c r="W56" s="71"/>
      <c r="X56" s="68"/>
    </row>
    <row r="57" spans="2:24" s="1" customFormat="1" ht="16.5" customHeight="1" x14ac:dyDescent="0.3">
      <c r="B57" s="1" t="s">
        <v>291</v>
      </c>
      <c r="C57" s="96" t="s">
        <v>262</v>
      </c>
      <c r="D57" s="71">
        <v>1</v>
      </c>
      <c r="E57" s="73" t="s">
        <v>263</v>
      </c>
      <c r="F57" s="71"/>
      <c r="G57" s="74" t="s">
        <v>255</v>
      </c>
      <c r="H57" s="75">
        <v>50</v>
      </c>
      <c r="I57" s="76"/>
      <c r="J57" s="95" t="s">
        <v>264</v>
      </c>
      <c r="K57" s="70"/>
      <c r="L57" s="90"/>
      <c r="M57" s="90"/>
      <c r="N57" s="33"/>
      <c r="O57" s="69"/>
      <c r="P57" s="70"/>
      <c r="Q57" s="71"/>
      <c r="R57" s="68"/>
      <c r="S57" s="68"/>
      <c r="T57" s="91"/>
      <c r="U57" s="70"/>
      <c r="V57" s="70"/>
      <c r="W57" s="71"/>
      <c r="X57" s="68"/>
    </row>
    <row r="58" spans="2:24" s="1" customFormat="1" ht="16.5" customHeight="1" x14ac:dyDescent="0.3">
      <c r="B58" s="1" t="s">
        <v>291</v>
      </c>
      <c r="C58" s="93"/>
      <c r="D58" s="71">
        <v>2</v>
      </c>
      <c r="E58" s="73" t="s">
        <v>265</v>
      </c>
      <c r="F58" s="71"/>
      <c r="G58" s="74" t="s">
        <v>255</v>
      </c>
      <c r="H58" s="75">
        <v>250</v>
      </c>
      <c r="I58" s="76"/>
      <c r="J58" s="95" t="s">
        <v>266</v>
      </c>
      <c r="K58" s="70"/>
      <c r="L58" s="90"/>
      <c r="M58" s="90"/>
      <c r="N58" s="33"/>
      <c r="O58" s="69"/>
      <c r="P58" s="70"/>
      <c r="Q58" s="71"/>
      <c r="R58" s="68"/>
      <c r="S58" s="68"/>
      <c r="T58" s="91"/>
      <c r="U58" s="70"/>
      <c r="V58" s="70"/>
      <c r="W58" s="71"/>
      <c r="X58" s="68"/>
    </row>
    <row r="59" spans="2:24" s="1" customFormat="1" ht="16.5" customHeight="1" x14ac:dyDescent="0.3">
      <c r="B59" s="1" t="s">
        <v>291</v>
      </c>
      <c r="C59" s="93"/>
      <c r="D59" s="71">
        <v>3</v>
      </c>
      <c r="E59" s="73" t="s">
        <v>267</v>
      </c>
      <c r="F59" s="71"/>
      <c r="G59" s="74" t="s">
        <v>255</v>
      </c>
      <c r="H59" s="75">
        <v>250</v>
      </c>
      <c r="I59" s="76"/>
      <c r="J59" s="95" t="s">
        <v>268</v>
      </c>
      <c r="K59" s="70"/>
      <c r="L59" s="90"/>
      <c r="M59" s="90"/>
      <c r="N59" s="33"/>
      <c r="O59" s="69"/>
      <c r="P59" s="70"/>
      <c r="Q59" s="71"/>
      <c r="R59" s="68"/>
      <c r="S59" s="68"/>
      <c r="T59" s="91"/>
      <c r="U59" s="70"/>
      <c r="V59" s="70"/>
      <c r="W59" s="71"/>
      <c r="X59" s="68"/>
    </row>
    <row r="60" spans="2:24" s="1" customFormat="1" ht="16.5" customHeight="1" x14ac:dyDescent="0.3">
      <c r="B60" s="1" t="s">
        <v>291</v>
      </c>
      <c r="C60" s="93"/>
      <c r="D60" s="71">
        <v>4</v>
      </c>
      <c r="E60" s="73" t="s">
        <v>269</v>
      </c>
      <c r="F60" s="71"/>
      <c r="G60" s="74" t="s">
        <v>255</v>
      </c>
      <c r="H60" s="75">
        <v>250</v>
      </c>
      <c r="I60" s="76"/>
      <c r="J60" s="95" t="s">
        <v>270</v>
      </c>
      <c r="K60" s="70"/>
      <c r="L60" s="90"/>
      <c r="M60" s="90"/>
      <c r="N60" s="33"/>
      <c r="O60" s="69"/>
      <c r="P60" s="70"/>
      <c r="Q60" s="71"/>
      <c r="R60" s="68"/>
      <c r="S60" s="68"/>
      <c r="T60" s="91"/>
      <c r="U60" s="70"/>
      <c r="V60" s="70"/>
      <c r="W60" s="71"/>
      <c r="X60" s="68"/>
    </row>
    <row r="61" spans="2:24" s="1" customFormat="1" ht="16.5" customHeight="1" x14ac:dyDescent="0.3">
      <c r="B61" s="1" t="s">
        <v>291</v>
      </c>
      <c r="C61" s="93"/>
      <c r="D61" s="71">
        <v>5</v>
      </c>
      <c r="E61" s="73" t="s">
        <v>271</v>
      </c>
      <c r="F61" s="71"/>
      <c r="G61" s="74" t="s">
        <v>255</v>
      </c>
      <c r="H61" s="75">
        <v>250</v>
      </c>
      <c r="I61" s="76"/>
      <c r="J61" s="95" t="s">
        <v>272</v>
      </c>
      <c r="K61" s="70"/>
      <c r="L61" s="90"/>
      <c r="M61" s="90"/>
      <c r="N61" s="33"/>
      <c r="O61" s="69"/>
      <c r="P61" s="70"/>
      <c r="Q61" s="71"/>
      <c r="R61" s="68"/>
      <c r="S61" s="68"/>
      <c r="T61" s="91"/>
      <c r="U61" s="70"/>
      <c r="V61" s="70"/>
      <c r="W61" s="71"/>
      <c r="X61" s="68"/>
    </row>
    <row r="62" spans="2:24" s="1" customFormat="1" ht="16.5" customHeight="1" x14ac:dyDescent="0.3">
      <c r="B62" s="1" t="s">
        <v>291</v>
      </c>
      <c r="C62" s="93"/>
      <c r="D62" s="71">
        <v>6</v>
      </c>
      <c r="E62" s="73" t="s">
        <v>273</v>
      </c>
      <c r="F62" s="71"/>
      <c r="G62" s="74" t="s">
        <v>255</v>
      </c>
      <c r="H62" s="75" t="s">
        <v>274</v>
      </c>
      <c r="I62" s="76"/>
      <c r="J62" s="95" t="s">
        <v>275</v>
      </c>
      <c r="K62" s="70"/>
      <c r="L62" s="90"/>
      <c r="M62" s="90"/>
      <c r="N62" s="33"/>
      <c r="O62" s="69"/>
      <c r="P62" s="70"/>
      <c r="Q62" s="71"/>
      <c r="R62" s="68"/>
      <c r="S62" s="68"/>
      <c r="T62" s="91"/>
      <c r="U62" s="70"/>
      <c r="V62" s="70"/>
      <c r="W62" s="71"/>
      <c r="X62" s="68"/>
    </row>
    <row r="63" spans="2:24" s="1" customFormat="1" ht="16.5" customHeight="1" x14ac:dyDescent="0.3">
      <c r="B63" s="1" t="s">
        <v>291</v>
      </c>
      <c r="C63" s="93"/>
      <c r="D63" s="71">
        <v>7</v>
      </c>
      <c r="E63" s="73" t="s">
        <v>276</v>
      </c>
      <c r="F63" s="71"/>
      <c r="G63" s="74" t="s">
        <v>277</v>
      </c>
      <c r="H63" s="77">
        <v>100</v>
      </c>
      <c r="I63" s="76"/>
      <c r="J63" s="93" t="s">
        <v>278</v>
      </c>
      <c r="K63" s="70"/>
      <c r="L63" s="90"/>
      <c r="M63" s="90"/>
      <c r="N63" s="33"/>
      <c r="O63" s="69"/>
      <c r="P63" s="70"/>
      <c r="Q63" s="71"/>
      <c r="R63" s="68"/>
      <c r="S63" s="68"/>
      <c r="T63" s="91"/>
      <c r="U63" s="70"/>
      <c r="V63" s="70"/>
      <c r="W63" s="71"/>
      <c r="X63" s="68"/>
    </row>
    <row r="64" spans="2:24" s="1" customFormat="1" ht="16.5" customHeight="1" x14ac:dyDescent="0.3">
      <c r="B64" s="1" t="s">
        <v>291</v>
      </c>
      <c r="C64" s="93"/>
      <c r="D64" s="71">
        <v>8</v>
      </c>
      <c r="E64" s="73" t="s">
        <v>279</v>
      </c>
      <c r="F64" s="71"/>
      <c r="G64" s="74" t="s">
        <v>255</v>
      </c>
      <c r="H64" s="78" t="s">
        <v>280</v>
      </c>
      <c r="I64" s="76"/>
      <c r="J64" s="93" t="s">
        <v>281</v>
      </c>
      <c r="K64" s="87"/>
      <c r="L64" s="90"/>
      <c r="M64" s="90"/>
      <c r="N64" s="33"/>
      <c r="O64" s="86"/>
      <c r="P64" s="87"/>
      <c r="Q64" s="88"/>
      <c r="R64" s="85"/>
      <c r="S64" s="87"/>
      <c r="T64" s="89"/>
      <c r="U64" s="87"/>
      <c r="V64" s="87"/>
      <c r="W64" s="88"/>
      <c r="X64" s="85"/>
    </row>
    <row r="65" spans="2:24" s="1" customFormat="1" ht="16.5" customHeight="1" x14ac:dyDescent="0.3">
      <c r="B65" s="1" t="s">
        <v>291</v>
      </c>
      <c r="C65" s="93"/>
      <c r="D65" s="71">
        <v>9</v>
      </c>
      <c r="E65" s="73" t="s">
        <v>282</v>
      </c>
      <c r="F65" s="71"/>
      <c r="G65" s="74" t="s">
        <v>255</v>
      </c>
      <c r="H65" s="77">
        <v>250</v>
      </c>
      <c r="I65" s="76"/>
      <c r="J65" s="93" t="s">
        <v>283</v>
      </c>
      <c r="K65" s="30"/>
      <c r="L65" s="35"/>
      <c r="M65" s="48"/>
      <c r="N65" s="36"/>
      <c r="O65" s="3"/>
      <c r="P65" s="30"/>
      <c r="Q65" s="30"/>
      <c r="R65" s="3"/>
      <c r="S65" s="30"/>
      <c r="T65" s="30"/>
      <c r="U65" s="3"/>
      <c r="V65" s="30"/>
      <c r="W65" s="30"/>
      <c r="X65" s="34"/>
    </row>
    <row r="66" spans="2:24" s="1" customFormat="1" ht="16.5" customHeight="1" x14ac:dyDescent="0.3">
      <c r="C66" s="93"/>
      <c r="D66" s="71"/>
      <c r="E66" s="73"/>
      <c r="F66" s="71"/>
      <c r="G66" s="74"/>
      <c r="H66" s="77"/>
      <c r="I66" s="76"/>
      <c r="J66" s="93"/>
      <c r="K66" s="30"/>
      <c r="L66" s="35"/>
      <c r="M66" s="48"/>
      <c r="N66" s="36"/>
      <c r="O66" s="3"/>
      <c r="P66" s="30"/>
      <c r="Q66" s="30"/>
      <c r="R66" s="3"/>
      <c r="S66" s="30"/>
      <c r="T66" s="30"/>
      <c r="U66" s="3"/>
      <c r="V66" s="30"/>
      <c r="W66" s="30"/>
      <c r="X66" s="34"/>
    </row>
    <row r="67" spans="2:24" s="1" customFormat="1" x14ac:dyDescent="0.3">
      <c r="D67" s="4"/>
      <c r="G67" s="5"/>
      <c r="J67" s="6"/>
      <c r="L67" s="7"/>
      <c r="M67" s="7"/>
      <c r="O67" s="4"/>
      <c r="R67" s="5"/>
      <c r="U67" s="6"/>
      <c r="W67" s="7"/>
    </row>
    <row r="68" spans="2:24" ht="67.5" customHeight="1" x14ac:dyDescent="0.3">
      <c r="C68" s="16" t="s">
        <v>188</v>
      </c>
      <c r="D68" s="179" t="s">
        <v>199</v>
      </c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1"/>
    </row>
    <row r="70" spans="2:24" ht="102" customHeight="1" x14ac:dyDescent="0.3">
      <c r="C70" s="182" t="s">
        <v>187</v>
      </c>
      <c r="D70" s="183" t="s">
        <v>284</v>
      </c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5"/>
    </row>
    <row r="72" spans="2:24" ht="409.5" customHeight="1" x14ac:dyDescent="0.3">
      <c r="C72" s="16" t="s">
        <v>187</v>
      </c>
      <c r="D72" s="164" t="s">
        <v>292</v>
      </c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6"/>
    </row>
  </sheetData>
  <mergeCells count="49">
    <mergeCell ref="D72:X72"/>
    <mergeCell ref="D70:X70"/>
    <mergeCell ref="C25:L25"/>
    <mergeCell ref="N25:W25"/>
    <mergeCell ref="X25:X26"/>
    <mergeCell ref="C13:F13"/>
    <mergeCell ref="C16:L16"/>
    <mergeCell ref="N16:W16"/>
    <mergeCell ref="C15:F15"/>
    <mergeCell ref="G15:L15"/>
    <mergeCell ref="N15:Q15"/>
    <mergeCell ref="D68:X68"/>
    <mergeCell ref="N11:Q11"/>
    <mergeCell ref="R13:W13"/>
    <mergeCell ref="R15:W15"/>
    <mergeCell ref="G13:L13"/>
    <mergeCell ref="N13:Q13"/>
    <mergeCell ref="D7:X7"/>
    <mergeCell ref="D8:X8"/>
    <mergeCell ref="C10:L10"/>
    <mergeCell ref="N10:W10"/>
    <mergeCell ref="X10:X17"/>
    <mergeCell ref="C12:F12"/>
    <mergeCell ref="G12:L12"/>
    <mergeCell ref="N12:Q12"/>
    <mergeCell ref="R12:W12"/>
    <mergeCell ref="R11:W11"/>
    <mergeCell ref="C14:F14"/>
    <mergeCell ref="G14:L14"/>
    <mergeCell ref="N14:Q14"/>
    <mergeCell ref="R14:W14"/>
    <mergeCell ref="C11:F11"/>
    <mergeCell ref="G11:L11"/>
    <mergeCell ref="W5:X5"/>
    <mergeCell ref="C2:X2"/>
    <mergeCell ref="D3:H3"/>
    <mergeCell ref="I3:J3"/>
    <mergeCell ref="K3:L3"/>
    <mergeCell ref="O3:U3"/>
    <mergeCell ref="W3:X3"/>
    <mergeCell ref="W4:X4"/>
    <mergeCell ref="D4:H4"/>
    <mergeCell ref="I4:J4"/>
    <mergeCell ref="K4:L4"/>
    <mergeCell ref="O4:U4"/>
    <mergeCell ref="D5:H5"/>
    <mergeCell ref="I5:J5"/>
    <mergeCell ref="K5:L5"/>
    <mergeCell ref="O5:U5"/>
  </mergeCells>
  <phoneticPr fontId="2" type="noConversion"/>
  <dataValidations count="1">
    <dataValidation type="list" allowBlank="1" showInputMessage="1" showErrorMessage="1" sqref="G11:L11" xr:uid="{00000000-0002-0000-0200-000000000000}">
      <formula1>$C$3:$C$47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200-000001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2000000}">
          <x14:formula1>
            <xm:f>Code!$B$3:$B$67</xm:f>
          </x14:formula1>
          <xm:sqref>R11:W11 M11</xm:sqref>
        </x14:dataValidation>
        <x14:dataValidation type="list" allowBlank="1" showInputMessage="1" showErrorMessage="1" xr:uid="{00000000-0002-0000-0200-000003000000}">
          <x14:formula1>
            <xm:f>Code!$E$3:$E$6</xm:f>
          </x14:formula1>
          <xm:sqref>R15:W15 M15</xm:sqref>
        </x14:dataValidation>
        <x14:dataValidation type="list" allowBlank="1" showInputMessage="1" showErrorMessage="1" xr:uid="{00000000-0002-0000-0200-000004000000}">
          <x14:formula1>
            <xm:f>'E:\05_EAI_구축\00_2021_EAI구축_개발진행\DEV_20220511_2차추가개선\[인터페이스_매핑정의서_IF_SRD_PDM_ERP_0168_itemDescriptionCheckERP_v0.2.xlsx]Code'!#REF!</xm:f>
          </x14:formula1>
          <xm:sqref>T23</xm:sqref>
        </x14:dataValidation>
        <x14:dataValidation type="list" allowBlank="1" showInputMessage="1" showErrorMessage="1" xr:uid="{00000000-0002-0000-0200-000005000000}">
          <x14:formula1>
            <xm:f>'C:\comkdhc\2023\데이터플랫폼\적재요청\230717_이원종M\[인터페이스_매핑정의서_IF_SRD_DPS_SCM_0001_제품류 PSI 품목 관리 (DS_MT_PSI_CODE_LIST).xlsx]Code'!#REF!</xm:f>
          </x14:formula1>
          <xm:sqref>I18:I21 T19:T21</xm:sqref>
        </x14:dataValidation>
        <x14:dataValidation type="list" allowBlank="1" showInputMessage="1" showErrorMessage="1" xr:uid="{00000000-0002-0000-0200-000006000000}">
          <x14:formula1>
            <xm:f>'\\hqfs1.lsis.biz\00_ITO 공통\comkdhc\2023\데이터플랫폼\적재요청\230717_이원종M\[인터페이스_매핑정의서_IF_SRD_DPS_SCM_0001_제품류 PSI 품목 관리 (DS_MT_PSI_CODE_LIST).xlsx]Code'!#REF!</xm:f>
          </x14:formula1>
          <xm:sqref>G15:L15 I53:I56</xm:sqref>
        </x14:dataValidation>
        <x14:dataValidation type="list" allowBlank="1" showInputMessage="1" showErrorMessage="1" xr:uid="{00000000-0002-0000-0200-000007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I57:I66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IF_SRD_DPS_PMS_0004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2024-02-19T00:38:27Z</dcterms:modified>
</cp:coreProperties>
</file>