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1017\인터페이스_매핑정의서_DPS_RMS_0001-0010\개발완료\"/>
    </mc:Choice>
  </mc:AlternateContent>
  <xr:revisionPtr revIDLastSave="0" documentId="13_ncr:1_{ED418652-B54F-492F-9F09-4AD706F9319E}" xr6:coauthVersionLast="47" xr6:coauthVersionMax="47" xr10:uidLastSave="{00000000-0000-0000-0000-000000000000}"/>
  <bookViews>
    <workbookView xWindow="-120" yWindow="-120" windowWidth="290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RMS_0002" sheetId="5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<sst xmlns="http://schemas.openxmlformats.org/spreadsheetml/2006/main" count="507" uniqueCount="269">
  <si>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</si>
  <si>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</si>
  <si>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</si>
  <si>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</si>
  <si>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</si>
  <si>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</si>
  <si>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</si>
  <si>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</si>
  <si>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</si>
  <si>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</si>
  <si>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</si>
  <si>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</si>
  <si>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</si>
  <si>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</si>
  <si>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</si>
  <si>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</si>
  <si>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</si>
  <si>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</si>
  <si>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</si>
  <si>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</si>
  <si>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</si>
  <si>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</si>
  <si>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</si>
  <si>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</si>
  <si>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</si>
  <si>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</si>
  <si>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</si>
  <si>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</si>
  <si>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</si>
  <si>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</si>
  <si>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</si>
  <si>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</si>
  <si>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</si>
  <si>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</si>
  <si>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</si>
  <si>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</si>
  <si>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</si>
  <si>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</si>
  <si>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</si>
  <si>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</si>
  <si>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</si>
  <si>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</si>
  <si>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</si>
  <si>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</si>
  <si>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</si>
  <si>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</si>
  <si>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</si>
  <si>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</si>
  <si>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</si>
  <si>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</si>
  <si>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</si>
  <si>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</si>
  <si>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</si>
  <si>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</si>
  <si>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</si>
  <si>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</si>
  <si>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</si>
  <si>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</si>
  <si>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</si>
  <si>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</si>
  <si>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</si>
  <si>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</si>
  <si>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</si>
  <si>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</si>
  <si>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</si>
  <si>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</si>
  <si>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</si>
  <si>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</si>
  <si>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</si>
  <si>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</si>
  <si>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</si>
  <si>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</si>
  <si>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</si>
  <si>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</si>
  <si>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</si>
  <si>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</si>
  <si>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</si>
  <si>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</si>
  <si>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</si>
  <si>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</si>
  <si>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</si>
  <si>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</si>
  <si>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</si>
  <si>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</si>
  <si>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</si>
  <si>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</si>
  <si>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</si>
  <si>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</si>
  <si>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</si>
  <si>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</si>
  <si>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</si>
  <si>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</si>
  <si>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</si>
  <si>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</si>
  <si>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</si>
  <si>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</si>
  <si>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</si>
  <si>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</si>
  <si>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</si>
  <si>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</si>
  <si>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</si>
  <si>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</si>
  <si>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</si>
  <si>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</si>
  <si>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</si>
  <si>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</si>
  <si>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</si>
  <si>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</si>
  <si>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</si>
  <si>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</si>
  <si>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</si>
  <si>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</si>
  <si>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</si>
  <si>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</si>
  <si>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</si>
  <si>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</si>
  <si>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</si>
  <si>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</si>
  <si>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</si>
  <si>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</si>
  <si>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</si>
  <si>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</si>
  <si>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</si>
  <si>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</si>
  <si>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</si>
  <si>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</si>
  <si>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</si>
  <si>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</si>
  <si>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</si>
  <si>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</si>
  <si>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</si>
  <si>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</si>
  <si>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</si>
  <si>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</si>
  <si>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</si>
  <si>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</si>
  <si>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</si>
  <si>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</si>
  <si>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</si>
  <si>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</si>
  <si>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</si>
  <si>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</si>
  <si>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</si>
  <si>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</si>
  <si>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</si>
  <si>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</si>
  <si>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</si>
  <si>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</si>
  <si>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</si>
  <si>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</si>
  <si>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RMS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</si>
  <si>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</si>
  <si>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</si>
  <si>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</si>
  <si>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</si>
  <si>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</si>
  <si>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RMS Release Status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</si>
  <si>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</si>
  <si>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</si>
  <si>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</si>
  <si>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</si>
  <si>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</si>
  <si>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</si>
  <si>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</si>
  <si>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</si>
  <si>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</si>
  <si>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</si>
  <si>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</si>
  <si>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</si>
  <si>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</si>
  <si>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전체 삭제 후 재적재)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</si>
  <si>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</si>
  <si>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</si>
  <si>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</si>
  <si>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</si>
  <si>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</si>
  <si>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</si>
  <si>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</si>
  <si>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</si>
  <si>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</si>
  <si>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TR_RELEASESTATUS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</si>
  <si>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</si>
  <si>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</si>
  <si>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</si>
  <si>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</si>
  <si>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</si>
  <si>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</si>
  <si>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</si>
  <si>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</si>
  <si>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</si>
  <si>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</si>
  <si>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</si>
  <si>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Field</t>
    <phoneticPr fontId="2" type="noConversion"/>
  </si>
  <si>
    <t>RELEASESTATUSID</t>
  </si>
  <si>
    <t>Y</t>
  </si>
  <si>
    <t>FLOAT</t>
    <phoneticPr fontId="2" type="noConversion"/>
  </si>
  <si>
    <t/>
  </si>
  <si>
    <t>고유ID</t>
  </si>
  <si>
    <t>BIGINT</t>
  </si>
  <si>
    <t>TYPE</t>
  </si>
  <si>
    <t>NVARCHAR</t>
  </si>
  <si>
    <t>NAME</t>
  </si>
  <si>
    <t>명칭</t>
  </si>
  <si>
    <t>DESCRIPTION</t>
  </si>
  <si>
    <t>부가 정보</t>
  </si>
  <si>
    <t>NOTES</t>
  </si>
  <si>
    <t>비고</t>
  </si>
  <si>
    <t>DEFAULTFOR</t>
  </si>
  <si>
    <t>ATTACHMENTS</t>
  </si>
  <si>
    <t>DECIMAL</t>
  </si>
  <si>
    <t>38,0</t>
    <phoneticPr fontId="2" type="noConversion"/>
  </si>
  <si>
    <t>LASTUSER</t>
  </si>
  <si>
    <t>수정자</t>
  </si>
  <si>
    <t>LASTEDITED</t>
  </si>
  <si>
    <t>DATETIME</t>
  </si>
  <si>
    <t>수정자 사번</t>
  </si>
  <si>
    <t>VISIBILITY</t>
  </si>
  <si>
    <t>SYMBOL</t>
  </si>
  <si>
    <t>SCOREABLE</t>
  </si>
  <si>
    <t>ALERTFLAGS</t>
  </si>
  <si>
    <t>ORDERNO</t>
  </si>
  <si>
    <t>INCLUDEINROLLUPS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</si>
  <si>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</si>
  <si>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</si>
  <si>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</si>
  <si>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</si>
  <si>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</si>
  <si>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</si>
  <si>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</si>
  <si>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</si>
  <si>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</si>
  <si>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</si>
  <si>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</si>
  <si>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</si>
  <si>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</si>
  <si>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</si>
  <si>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</si>
  <si>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</si>
  <si>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</si>
  <si>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</si>
  <si>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</si>
  <si>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</si>
  <si>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</si>
  <si>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</si>
  <si>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</si>
  <si>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</si>
  <si>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</si>
  <si>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</si>
  <si>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SQL Query
(ERP)</t>
    <phoneticPr fontId="2" type="noConversion"/>
  </si>
  <si>
    <t>SELECT RELEASESTATUSID
,TYPE
,NAME
,DESCRIPTION
,NOTES
,DEFAULTFOR
,ATTACHMENTS
,LASTUSER
,LASTEDITED
,VISIBILITY
,SYMBOL
,SCOREABLE
,ALERTFLAGS
,ORDERNO
,INCLUDEINROLLUPS
 FROM "TRITON"."TR_RELEASESTATUS"</t>
    <phoneticPr fontId="2" type="noConversion"/>
  </si>
  <si>
    <t>IF_SRD_DPS_RMS_0002</t>
    <phoneticPr fontId="2" type="noConversion"/>
  </si>
  <si>
    <t>TR_RELEASESTATUS</t>
    <phoneticPr fontId="2" type="noConversion"/>
  </si>
  <si>
    <t>REST</t>
    <phoneticPr fontId="2" type="noConversion"/>
  </si>
  <si>
    <t>DEFAULT FOR</t>
    <phoneticPr fontId="2" type="noConversion"/>
  </si>
  <si>
    <t>ALERT FLAGS</t>
    <phoneticPr fontId="2" type="noConversion"/>
  </si>
  <si>
    <t>ORDER NO</t>
    <phoneticPr fontId="2" type="noConversion"/>
  </si>
  <si>
    <t>INCLUDE IN ROLLUPS</t>
    <phoneticPr fontId="2" type="noConversion"/>
  </si>
  <si>
    <t>SQL Query
(EAI 사용 쿼리)</t>
    <phoneticPr fontId="2" type="noConversion"/>
  </si>
  <si>
    <t>2022.10.07</t>
    <phoneticPr fontId="2" type="noConversion"/>
  </si>
  <si>
    <t>구다환</t>
    <phoneticPr fontId="2" type="noConversion"/>
  </si>
  <si>
    <t>EAI 시스템</t>
    <phoneticPr fontId="4" type="noConversion"/>
  </si>
  <si>
    <t>2022.10.08</t>
    <phoneticPr fontId="2" type="noConversion"/>
  </si>
  <si>
    <t>고웅</t>
    <phoneticPr fontId="2" type="noConversion"/>
  </si>
  <si>
    <t>EAI 사용 쿼리 추가</t>
    <phoneticPr fontId="4" type="noConversion"/>
  </si>
  <si>
    <t>SELECT
    CAST(FORMAT(CAST(RELEASESTATUSID as numeric(38,21)),'##0.##############') AS varchar(200)) AS RELEASESTATUSID
    ,TYPE
    ,NAME
    ,DESCRIPTION
    ,NOTES
    ,DEFAULTFOR
    ,CAST(FORMAT(CAST(RELEASESTATUSID as numeric(38,21)),'##0.##############') AS varchar(200)) AS ATTACHMENTS
    ,LASTUSER
    ,LASTEDITED
    ,CAST(FORMAT(CAST(RELEASESTATUSID as numeric(38,21)),'##0.##############') AS varchar(200)) AS VISIBILITY
    ,SYMBOL
    ,SCOREABLE
    ,CAST(FORMAT(CAST(RELEASESTATUSID as numeric(38,21)),'##0.##############') AS varchar(200)) AS ALERTFLAGS
    ,CAST(FORMAT(CAST(ORDERNO as numeric(38,21)),'##0.##############') AS varchar(200)) AS ORDERNO
    ,INCLUDEINROLLUPS
FROM TR_RELEASESTATUS</t>
    <phoneticPr fontId="2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</si>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</sst>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1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9" fillId="0" borderId="31" xfId="0" quotePrefix="1" applyFont="1" applyBorder="1" applyAlignment="1">
      <alignment horizontal="left" vertical="center"/>
    </xf>
    <xf numFmtId="0" fontId="24" fillId="2" borderId="31" xfId="0" quotePrefix="1" applyFont="1" applyFill="1" applyBorder="1" applyAlignment="1">
      <alignment horizontal="left" vertical="center" wrapText="1"/>
    </xf>
    <xf numFmtId="0" fontId="14" fillId="0" borderId="31" xfId="0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25" fillId="8" borderId="31" xfId="6" applyFont="1" applyFill="1" applyBorder="1" applyAlignment="1">
      <alignment vertical="center"/>
    </xf>
    <xf numFmtId="0" fontId="5" fillId="9" borderId="31" xfId="0" applyFont="1" applyFill="1" applyBorder="1" applyAlignment="1">
      <alignment horizontal="left" vertical="center" wrapText="1"/>
    </xf>
    <xf numFmtId="0" fontId="26" fillId="0" borderId="31" xfId="6" applyFont="1" applyBorder="1" applyAlignment="1">
      <alignment horizontal="left" vertical="center"/>
    </xf>
    <xf numFmtId="0" fontId="29" fillId="0" borderId="31" xfId="0" applyFont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5" fillId="0" borderId="31" xfId="0" applyFont="1" applyBorder="1" applyAlignment="1">
      <alignment horizontal="left" vertic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right" vertical="center"/>
    </xf>
    <xf numFmtId="1" fontId="0" fillId="0" borderId="31" xfId="0" applyNumberFormat="1" applyBorder="1" applyAlignment="1"/>
    <xf numFmtId="0" fontId="0" fillId="0" borderId="31" xfId="0" applyBorder="1" applyAlignment="1">
      <alignment horizontal="center"/>
    </xf>
    <xf numFmtId="0" fontId="30" fillId="0" borderId="31" xfId="0" applyFont="1" applyBorder="1">
      <alignment vertical="center"/>
    </xf>
    <xf numFmtId="0" fontId="26" fillId="0" borderId="31" xfId="6" applyFont="1" applyBorder="1" applyAlignment="1">
      <alignment horizontal="right" vertical="center"/>
    </xf>
    <xf numFmtId="0" fontId="7" fillId="8" borderId="3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10" borderId="1" xfId="1" applyFont="1" applyFill="1" applyBorder="1" applyAlignment="1">
      <alignment horizontal="left" vertical="top" wrapText="1"/>
    </xf>
    <xf numFmtId="0" fontId="12" fillId="6" borderId="1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8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zoomScale="85" zoomScaleNormal="85" workbookViewId="0">
      <selection activeCell="K15" sqref="K15:L15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80" t="s">
        <v>4</v>
      </c>
      <c r="C5" s="81"/>
      <c r="D5" s="82" t="s">
        <v>5</v>
      </c>
      <c r="E5" s="81"/>
      <c r="F5" s="82" t="s">
        <v>1</v>
      </c>
      <c r="G5" s="83"/>
      <c r="H5" s="83"/>
      <c r="I5" s="83"/>
      <c r="J5" s="81"/>
      <c r="K5" s="82" t="s">
        <v>6</v>
      </c>
      <c r="L5" s="84"/>
      <c r="M5" s="9"/>
      <c r="N5" s="80" t="s">
        <v>4</v>
      </c>
      <c r="O5" s="81"/>
      <c r="P5" s="82" t="s">
        <v>5</v>
      </c>
      <c r="Q5" s="81"/>
      <c r="R5" s="82" t="s">
        <v>1</v>
      </c>
      <c r="S5" s="83"/>
      <c r="T5" s="83"/>
      <c r="U5" s="83"/>
      <c r="V5" s="81"/>
      <c r="W5" s="82" t="s">
        <v>6</v>
      </c>
      <c r="X5" s="84"/>
    </row>
    <row r="6" spans="1:24" x14ac:dyDescent="0.3">
      <c r="A6" s="9"/>
      <c r="B6" s="70" t="s">
        <v>258</v>
      </c>
      <c r="C6" s="71"/>
      <c r="D6" s="72" t="s">
        <v>259</v>
      </c>
      <c r="E6" s="71"/>
      <c r="F6" s="78" t="s">
        <v>7</v>
      </c>
      <c r="G6" s="74"/>
      <c r="H6" s="74"/>
      <c r="I6" s="74"/>
      <c r="J6" s="75"/>
      <c r="K6" s="72">
        <v>0.1</v>
      </c>
      <c r="L6" s="79"/>
      <c r="M6" s="9"/>
      <c r="N6" s="70" t="s">
        <v>258</v>
      </c>
      <c r="O6" s="71"/>
      <c r="P6" s="72" t="s">
        <v>259</v>
      </c>
      <c r="Q6" s="71"/>
      <c r="R6" s="78" t="s">
        <v>7</v>
      </c>
      <c r="S6" s="74"/>
      <c r="T6" s="74"/>
      <c r="U6" s="74"/>
      <c r="V6" s="75"/>
      <c r="W6" s="72">
        <v>0.1</v>
      </c>
      <c r="X6" s="79"/>
    </row>
    <row r="7" spans="1:24" x14ac:dyDescent="0.3">
      <c r="A7" s="9"/>
      <c r="B7" s="70"/>
      <c r="C7" s="71"/>
      <c r="D7" s="72"/>
      <c r="E7" s="71"/>
      <c r="F7" s="78"/>
      <c r="G7" s="74"/>
      <c r="H7" s="74"/>
      <c r="I7" s="74"/>
      <c r="J7" s="75"/>
      <c r="K7" s="72"/>
      <c r="L7" s="79"/>
      <c r="M7" s="9"/>
      <c r="N7" s="70"/>
      <c r="O7" s="71"/>
      <c r="P7" s="72"/>
      <c r="Q7" s="71"/>
      <c r="R7" s="73"/>
      <c r="S7" s="74"/>
      <c r="T7" s="74"/>
      <c r="U7" s="74"/>
      <c r="V7" s="75"/>
      <c r="W7" s="72"/>
      <c r="X7" s="79"/>
    </row>
    <row r="8" spans="1:24" x14ac:dyDescent="0.3">
      <c r="A8" s="9"/>
      <c r="B8" s="70"/>
      <c r="C8" s="71"/>
      <c r="D8" s="72"/>
      <c r="E8" s="71"/>
      <c r="F8" s="73"/>
      <c r="G8" s="74"/>
      <c r="H8" s="74"/>
      <c r="I8" s="74"/>
      <c r="J8" s="75"/>
      <c r="K8" s="76"/>
      <c r="L8" s="77"/>
      <c r="M8" s="9"/>
      <c r="N8" s="70"/>
      <c r="O8" s="71"/>
      <c r="P8" s="72"/>
      <c r="Q8" s="71"/>
      <c r="R8" s="73"/>
      <c r="S8" s="74"/>
      <c r="T8" s="74"/>
      <c r="U8" s="74"/>
      <c r="V8" s="75"/>
      <c r="W8" s="76"/>
      <c r="X8" s="77"/>
    </row>
    <row r="9" spans="1:24" x14ac:dyDescent="0.3">
      <c r="A9" s="9"/>
      <c r="B9" s="70"/>
      <c r="C9" s="71"/>
      <c r="D9" s="72"/>
      <c r="E9" s="71"/>
      <c r="F9" s="73"/>
      <c r="G9" s="74"/>
      <c r="H9" s="74"/>
      <c r="I9" s="74"/>
      <c r="J9" s="75"/>
      <c r="K9" s="76"/>
      <c r="L9" s="77"/>
      <c r="M9" s="9"/>
      <c r="N9" s="70"/>
      <c r="O9" s="71"/>
      <c r="P9" s="72"/>
      <c r="Q9" s="71"/>
      <c r="R9" s="73"/>
      <c r="S9" s="74"/>
      <c r="T9" s="74"/>
      <c r="U9" s="74"/>
      <c r="V9" s="75"/>
      <c r="W9" s="76"/>
      <c r="X9" s="77"/>
    </row>
    <row r="12" spans="1:24" ht="18" thickBot="1" x14ac:dyDescent="0.35">
      <c r="B12" s="11" t="s">
        <v>260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24" x14ac:dyDescent="0.3">
      <c r="B13" s="80" t="s">
        <v>4</v>
      </c>
      <c r="C13" s="81"/>
      <c r="D13" s="82" t="s">
        <v>5</v>
      </c>
      <c r="E13" s="81"/>
      <c r="F13" s="82" t="s">
        <v>1</v>
      </c>
      <c r="G13" s="83"/>
      <c r="H13" s="83"/>
      <c r="I13" s="83"/>
      <c r="J13" s="81"/>
      <c r="K13" s="82" t="s">
        <v>6</v>
      </c>
      <c r="L13" s="84"/>
    </row>
    <row r="14" spans="1:24" x14ac:dyDescent="0.3">
      <c r="B14" s="70" t="s">
        <v>261</v>
      </c>
      <c r="C14" s="71"/>
      <c r="D14" s="72" t="s">
        <v>262</v>
      </c>
      <c r="E14" s="71"/>
      <c r="F14" s="78" t="s">
        <v>263</v>
      </c>
      <c r="G14" s="74"/>
      <c r="H14" s="74"/>
      <c r="I14" s="74"/>
      <c r="J14" s="75"/>
      <c r="K14" s="72">
        <v>0.2</v>
      </c>
      <c r="L14" s="79"/>
    </row>
    <row r="15" spans="1:24" x14ac:dyDescent="0.3">
      <c r="B15" s="70"/>
      <c r="C15" s="71"/>
      <c r="D15" s="72"/>
      <c r="E15" s="71"/>
      <c r="F15" s="78"/>
      <c r="G15" s="74"/>
      <c r="H15" s="74"/>
      <c r="I15" s="74"/>
      <c r="J15" s="75"/>
      <c r="K15" s="72"/>
      <c r="L15" s="79"/>
    </row>
    <row r="16" spans="1:24" x14ac:dyDescent="0.3">
      <c r="B16" s="70"/>
      <c r="C16" s="71"/>
      <c r="D16" s="72"/>
      <c r="E16" s="71"/>
      <c r="F16" s="73"/>
      <c r="G16" s="74"/>
      <c r="H16" s="74"/>
      <c r="I16" s="74"/>
      <c r="J16" s="75"/>
      <c r="K16" s="76"/>
      <c r="L16" s="77"/>
    </row>
    <row r="17" spans="2:12" x14ac:dyDescent="0.3">
      <c r="B17" s="70"/>
      <c r="C17" s="71"/>
      <c r="D17" s="72"/>
      <c r="E17" s="71"/>
      <c r="F17" s="73"/>
      <c r="G17" s="74"/>
      <c r="H17" s="74"/>
      <c r="I17" s="74"/>
      <c r="J17" s="75"/>
      <c r="K17" s="76"/>
      <c r="L17" s="77"/>
    </row>
  </sheetData>
  <mergeCells count="61"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  <mergeCell ref="B13:C13"/>
    <mergeCell ref="D13:E13"/>
    <mergeCell ref="F13:J13"/>
    <mergeCell ref="K13:L13"/>
    <mergeCell ref="B14:C14"/>
    <mergeCell ref="D14:E14"/>
    <mergeCell ref="F14:J14"/>
    <mergeCell ref="K14:L14"/>
    <mergeCell ref="B17:C17"/>
    <mergeCell ref="D17:E17"/>
    <mergeCell ref="F17:J17"/>
    <mergeCell ref="K17:L17"/>
    <mergeCell ref="B15:C15"/>
    <mergeCell ref="D15:E15"/>
    <mergeCell ref="F15:J15"/>
    <mergeCell ref="K15:L15"/>
    <mergeCell ref="B16:C16"/>
    <mergeCell ref="D16:E16"/>
    <mergeCell ref="F16:J16"/>
    <mergeCell ref="K16:L1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1"/>
  <sheetViews>
    <sheetView topLeftCell="A46" workbookViewId="0">
      <selection activeCell="D69" sqref="D69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150</v>
      </c>
    </row>
    <row r="70" spans="2:3" x14ac:dyDescent="0.3">
      <c r="B70" s="17" t="s">
        <v>151</v>
      </c>
      <c r="C70" s="17" t="s">
        <v>152</v>
      </c>
    </row>
    <row r="71" spans="2:3" x14ac:dyDescent="0.3">
      <c r="B71" s="17"/>
      <c r="C71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56"/>
  <sheetViews>
    <sheetView tabSelected="1" topLeftCell="A16" zoomScale="70" zoomScaleNormal="70" workbookViewId="0">
      <selection activeCell="D56" sqref="D56:X56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75" style="3" customWidth="1"/>
    <col min="4" max="4" width="4.375" style="3" bestFit="1" customWidth="1"/>
    <col min="5" max="5" width="30.625" style="3" bestFit="1" customWidth="1"/>
    <col min="6" max="6" width="4.25" style="3" bestFit="1" customWidth="1"/>
    <col min="7" max="7" width="13" style="3" bestFit="1" customWidth="1"/>
    <col min="8" max="8" width="5.625" style="3" bestFit="1" customWidth="1"/>
    <col min="9" max="9" width="7.75" style="3" customWidth="1"/>
    <col min="10" max="10" width="29.375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1.5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9.37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11" t="s">
        <v>153</v>
      </c>
      <c r="D2" s="112"/>
      <c r="E2" s="112"/>
      <c r="F2" s="112"/>
      <c r="G2" s="112"/>
      <c r="H2" s="112"/>
      <c r="I2" s="112"/>
      <c r="J2" s="112"/>
      <c r="K2" s="112"/>
      <c r="L2" s="112"/>
      <c r="M2" s="113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</row>
    <row r="3" spans="3:24" ht="16.5" customHeight="1" x14ac:dyDescent="0.3">
      <c r="C3" s="25" t="s">
        <v>154</v>
      </c>
      <c r="D3" s="114" t="s">
        <v>250</v>
      </c>
      <c r="E3" s="115"/>
      <c r="F3" s="115"/>
      <c r="G3" s="115"/>
      <c r="H3" s="116"/>
      <c r="I3" s="117" t="s">
        <v>155</v>
      </c>
      <c r="J3" s="117"/>
      <c r="K3" s="118" t="s">
        <v>156</v>
      </c>
      <c r="L3" s="119"/>
      <c r="M3" s="63"/>
      <c r="N3" s="26" t="s">
        <v>157</v>
      </c>
      <c r="O3" s="120" t="s">
        <v>156</v>
      </c>
      <c r="P3" s="121"/>
      <c r="Q3" s="121"/>
      <c r="R3" s="121"/>
      <c r="S3" s="121"/>
      <c r="T3" s="121"/>
      <c r="U3" s="122"/>
      <c r="V3" s="26" t="s">
        <v>158</v>
      </c>
      <c r="W3" s="123">
        <v>44841</v>
      </c>
      <c r="X3" s="119"/>
    </row>
    <row r="4" spans="3:24" ht="16.5" customHeight="1" x14ac:dyDescent="0.3">
      <c r="C4" s="25" t="s">
        <v>159</v>
      </c>
      <c r="D4" s="114" t="s">
        <v>160</v>
      </c>
      <c r="E4" s="115"/>
      <c r="F4" s="115"/>
      <c r="G4" s="115"/>
      <c r="H4" s="116"/>
      <c r="I4" s="134" t="s">
        <v>13</v>
      </c>
      <c r="J4" s="135"/>
      <c r="K4" s="118" t="s">
        <v>161</v>
      </c>
      <c r="L4" s="119"/>
      <c r="M4" s="63"/>
      <c r="N4" s="26" t="s">
        <v>162</v>
      </c>
      <c r="O4" s="120" t="s">
        <v>163</v>
      </c>
      <c r="P4" s="121"/>
      <c r="Q4" s="121"/>
      <c r="R4" s="121"/>
      <c r="S4" s="121"/>
      <c r="T4" s="121"/>
      <c r="U4" s="122"/>
      <c r="V4" s="26" t="s">
        <v>164</v>
      </c>
      <c r="W4" s="126"/>
      <c r="X4" s="127"/>
    </row>
    <row r="5" spans="3:24" ht="16.5" customHeight="1" x14ac:dyDescent="0.3">
      <c r="C5" s="27" t="s">
        <v>165</v>
      </c>
      <c r="D5" s="136"/>
      <c r="E5" s="137"/>
      <c r="F5" s="137"/>
      <c r="G5" s="137"/>
      <c r="H5" s="138"/>
      <c r="I5" s="90" t="s">
        <v>166</v>
      </c>
      <c r="J5" s="90"/>
      <c r="K5" s="124"/>
      <c r="L5" s="125"/>
      <c r="M5" s="64"/>
      <c r="N5" s="27" t="s">
        <v>167</v>
      </c>
      <c r="O5" s="139"/>
      <c r="P5" s="140"/>
      <c r="Q5" s="140"/>
      <c r="R5" s="140"/>
      <c r="S5" s="140"/>
      <c r="T5" s="140"/>
      <c r="U5" s="141"/>
      <c r="V5" s="27" t="s">
        <v>168</v>
      </c>
      <c r="W5" s="124"/>
      <c r="X5" s="125"/>
    </row>
    <row r="7" spans="3:24" ht="45.75" customHeight="1" x14ac:dyDescent="0.3">
      <c r="C7" s="13" t="s">
        <v>169</v>
      </c>
      <c r="D7" s="130" t="s">
        <v>170</v>
      </c>
      <c r="E7" s="131"/>
      <c r="F7" s="131"/>
      <c r="G7" s="131"/>
      <c r="H7" s="131"/>
      <c r="I7" s="131"/>
      <c r="J7" s="131"/>
      <c r="K7" s="131"/>
      <c r="L7" s="131"/>
      <c r="M7" s="132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3"/>
    </row>
    <row r="8" spans="3:24" ht="27" customHeight="1" x14ac:dyDescent="0.3">
      <c r="C8" s="13" t="s">
        <v>171</v>
      </c>
      <c r="D8" s="130" t="s">
        <v>172</v>
      </c>
      <c r="E8" s="131"/>
      <c r="F8" s="131"/>
      <c r="G8" s="131"/>
      <c r="H8" s="131"/>
      <c r="I8" s="131"/>
      <c r="J8" s="131"/>
      <c r="K8" s="131"/>
      <c r="L8" s="131"/>
      <c r="M8" s="132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3"/>
    </row>
    <row r="10" spans="3:24" ht="38.25" customHeight="1" x14ac:dyDescent="0.3">
      <c r="C10" s="102" t="s">
        <v>173</v>
      </c>
      <c r="D10" s="102"/>
      <c r="E10" s="102"/>
      <c r="F10" s="102"/>
      <c r="G10" s="102"/>
      <c r="H10" s="102"/>
      <c r="I10" s="102"/>
      <c r="J10" s="102"/>
      <c r="K10" s="102"/>
      <c r="L10" s="142"/>
      <c r="M10" s="65"/>
      <c r="N10" s="101" t="s">
        <v>174</v>
      </c>
      <c r="O10" s="102"/>
      <c r="P10" s="102"/>
      <c r="Q10" s="102"/>
      <c r="R10" s="102"/>
      <c r="S10" s="102"/>
      <c r="T10" s="102"/>
      <c r="U10" s="102"/>
      <c r="V10" s="102"/>
      <c r="W10" s="102"/>
      <c r="X10" s="90" t="s">
        <v>175</v>
      </c>
    </row>
    <row r="11" spans="3:24" ht="16.5" customHeight="1" x14ac:dyDescent="0.3">
      <c r="C11" s="100" t="s">
        <v>8</v>
      </c>
      <c r="D11" s="105"/>
      <c r="E11" s="105"/>
      <c r="F11" s="103"/>
      <c r="G11" s="106" t="s">
        <v>176</v>
      </c>
      <c r="H11" s="107"/>
      <c r="I11" s="107"/>
      <c r="J11" s="107"/>
      <c r="K11" s="107"/>
      <c r="L11" s="110"/>
      <c r="M11" s="66"/>
      <c r="N11" s="109" t="s">
        <v>8</v>
      </c>
      <c r="O11" s="105"/>
      <c r="P11" s="105"/>
      <c r="Q11" s="103"/>
      <c r="R11" s="106" t="s">
        <v>150</v>
      </c>
      <c r="S11" s="107"/>
      <c r="T11" s="107"/>
      <c r="U11" s="107"/>
      <c r="V11" s="107"/>
      <c r="W11" s="110"/>
      <c r="X11" s="90"/>
    </row>
    <row r="12" spans="3:24" ht="16.5" customHeight="1" x14ac:dyDescent="0.3">
      <c r="C12" s="100" t="s">
        <v>177</v>
      </c>
      <c r="D12" s="105"/>
      <c r="E12" s="105"/>
      <c r="F12" s="103"/>
      <c r="G12" s="106" t="str">
        <f>VLOOKUP(G11,Code!$B$3:$C$70,2,0)</f>
        <v>DPS</v>
      </c>
      <c r="H12" s="107"/>
      <c r="I12" s="107"/>
      <c r="J12" s="107"/>
      <c r="K12" s="107"/>
      <c r="L12" s="108"/>
      <c r="M12" s="66"/>
      <c r="N12" s="109" t="s">
        <v>177</v>
      </c>
      <c r="O12" s="105"/>
      <c r="P12" s="105"/>
      <c r="Q12" s="103"/>
      <c r="R12" s="106" t="str">
        <f>VLOOKUP(R11,Code!$B$3:$C$70,2,0)</f>
        <v>RMS</v>
      </c>
      <c r="S12" s="107"/>
      <c r="T12" s="107"/>
      <c r="U12" s="107"/>
      <c r="V12" s="107"/>
      <c r="W12" s="108"/>
      <c r="X12" s="103"/>
    </row>
    <row r="13" spans="3:24" ht="16.5" customHeight="1" x14ac:dyDescent="0.3">
      <c r="C13" s="100" t="s">
        <v>178</v>
      </c>
      <c r="D13" s="105"/>
      <c r="E13" s="105"/>
      <c r="F13" s="103"/>
      <c r="G13" s="91"/>
      <c r="H13" s="92"/>
      <c r="I13" s="92"/>
      <c r="J13" s="92"/>
      <c r="K13" s="92"/>
      <c r="L13" s="93"/>
      <c r="M13" s="67"/>
      <c r="N13" s="109" t="s">
        <v>178</v>
      </c>
      <c r="O13" s="105"/>
      <c r="P13" s="105"/>
      <c r="Q13" s="103"/>
      <c r="R13" s="91"/>
      <c r="S13" s="92"/>
      <c r="T13" s="92"/>
      <c r="U13" s="92"/>
      <c r="V13" s="92"/>
      <c r="W13" s="93"/>
      <c r="X13" s="90"/>
    </row>
    <row r="14" spans="3:24" x14ac:dyDescent="0.3">
      <c r="C14" s="90" t="s">
        <v>179</v>
      </c>
      <c r="D14" s="90"/>
      <c r="E14" s="90"/>
      <c r="F14" s="90"/>
      <c r="G14" s="91" t="s">
        <v>251</v>
      </c>
      <c r="H14" s="92"/>
      <c r="I14" s="92"/>
      <c r="J14" s="92"/>
      <c r="K14" s="92"/>
      <c r="L14" s="92"/>
      <c r="M14" s="67"/>
      <c r="N14" s="109" t="s">
        <v>179</v>
      </c>
      <c r="O14" s="105"/>
      <c r="P14" s="105"/>
      <c r="Q14" s="103"/>
      <c r="R14" s="128" t="s">
        <v>180</v>
      </c>
      <c r="S14" s="129"/>
      <c r="T14" s="129"/>
      <c r="U14" s="129"/>
      <c r="V14" s="129"/>
      <c r="W14" s="129"/>
      <c r="X14" s="90"/>
    </row>
    <row r="15" spans="3:24" ht="16.5" customHeight="1" x14ac:dyDescent="0.3">
      <c r="C15" s="90" t="s">
        <v>10</v>
      </c>
      <c r="D15" s="90"/>
      <c r="E15" s="90"/>
      <c r="F15" s="90"/>
      <c r="G15" s="91" t="s">
        <v>31</v>
      </c>
      <c r="H15" s="92"/>
      <c r="I15" s="92"/>
      <c r="J15" s="92"/>
      <c r="K15" s="92"/>
      <c r="L15" s="93"/>
      <c r="M15" s="67"/>
      <c r="N15" s="94" t="s">
        <v>10</v>
      </c>
      <c r="O15" s="90"/>
      <c r="P15" s="90"/>
      <c r="Q15" s="90"/>
      <c r="R15" s="91" t="s">
        <v>181</v>
      </c>
      <c r="S15" s="92"/>
      <c r="T15" s="92"/>
      <c r="U15" s="92"/>
      <c r="V15" s="92"/>
      <c r="W15" s="93"/>
      <c r="X15" s="90"/>
    </row>
    <row r="16" spans="3:24" ht="16.5" customHeight="1" x14ac:dyDescent="0.3">
      <c r="C16" s="95" t="s">
        <v>182</v>
      </c>
      <c r="D16" s="96"/>
      <c r="E16" s="96"/>
      <c r="F16" s="96"/>
      <c r="G16" s="96"/>
      <c r="H16" s="96"/>
      <c r="I16" s="96"/>
      <c r="J16" s="96"/>
      <c r="K16" s="96"/>
      <c r="L16" s="97"/>
      <c r="M16" s="68"/>
      <c r="N16" s="98" t="s">
        <v>183</v>
      </c>
      <c r="O16" s="96"/>
      <c r="P16" s="96"/>
      <c r="Q16" s="96"/>
      <c r="R16" s="96"/>
      <c r="S16" s="96"/>
      <c r="T16" s="96"/>
      <c r="U16" s="96"/>
      <c r="V16" s="96"/>
      <c r="W16" s="99"/>
      <c r="X16" s="90"/>
    </row>
    <row r="17" spans="2:24" ht="16.5" customHeight="1" x14ac:dyDescent="0.3">
      <c r="C17" s="15" t="s">
        <v>179</v>
      </c>
      <c r="D17" s="15" t="s">
        <v>184</v>
      </c>
      <c r="E17" s="15" t="s">
        <v>185</v>
      </c>
      <c r="F17" s="15" t="s">
        <v>186</v>
      </c>
      <c r="G17" s="15" t="s">
        <v>187</v>
      </c>
      <c r="H17" s="15" t="s">
        <v>188</v>
      </c>
      <c r="I17" s="15" t="s">
        <v>189</v>
      </c>
      <c r="J17" s="15" t="s">
        <v>157</v>
      </c>
      <c r="K17" s="15" t="s">
        <v>190</v>
      </c>
      <c r="L17" s="28" t="s">
        <v>191</v>
      </c>
      <c r="M17" s="68"/>
      <c r="N17" s="29" t="s">
        <v>179</v>
      </c>
      <c r="O17" s="30" t="s">
        <v>184</v>
      </c>
      <c r="P17" s="30" t="s">
        <v>185</v>
      </c>
      <c r="Q17" s="30" t="s">
        <v>186</v>
      </c>
      <c r="R17" s="30" t="s">
        <v>187</v>
      </c>
      <c r="S17" s="30" t="s">
        <v>188</v>
      </c>
      <c r="T17" s="15" t="s">
        <v>189</v>
      </c>
      <c r="U17" s="30" t="s">
        <v>157</v>
      </c>
      <c r="V17" s="30" t="s">
        <v>190</v>
      </c>
      <c r="W17" s="30" t="s">
        <v>191</v>
      </c>
      <c r="X17" s="104"/>
    </row>
    <row r="18" spans="2:24" s="2" customFormat="1" ht="16.5" customHeight="1" x14ac:dyDescent="0.3">
      <c r="B18" s="2" t="s">
        <v>265</v>
      </c>
      <c r="C18" s="31" t="s">
        <v>252</v>
      </c>
      <c r="D18" s="32"/>
      <c r="E18" s="33"/>
      <c r="F18" s="34"/>
      <c r="G18" s="35"/>
      <c r="H18" s="35"/>
      <c r="I18" s="34"/>
      <c r="J18" s="36"/>
      <c r="K18" s="37"/>
      <c r="L18" s="38"/>
      <c r="M18" s="38"/>
      <c r="N18" s="21"/>
      <c r="O18" s="32"/>
      <c r="P18" s="33"/>
      <c r="Q18" s="34"/>
      <c r="R18" s="35"/>
      <c r="S18" s="35"/>
      <c r="T18" s="34"/>
      <c r="U18" s="36"/>
      <c r="V18" s="37"/>
      <c r="W18" s="39"/>
      <c r="X18" s="40"/>
    </row>
    <row r="19" spans="2:24" s="2" customFormat="1" ht="16.5" customHeight="1" x14ac:dyDescent="0.3">
      <c r="C19" s="41"/>
      <c r="D19" s="34"/>
      <c r="E19" s="42"/>
      <c r="F19" s="34"/>
      <c r="G19" s="35"/>
      <c r="H19" s="35"/>
      <c r="I19" s="34"/>
      <c r="J19" s="36"/>
      <c r="K19" s="37"/>
      <c r="L19" s="38"/>
      <c r="M19" s="38"/>
      <c r="N19" s="21"/>
      <c r="O19" s="34"/>
      <c r="P19" s="42"/>
      <c r="Q19" s="39"/>
      <c r="R19" s="35"/>
      <c r="S19" s="35"/>
      <c r="T19" s="34"/>
      <c r="U19" s="33"/>
      <c r="V19" s="31"/>
      <c r="W19" s="39"/>
      <c r="X19" s="40"/>
    </row>
    <row r="20" spans="2:24" s="2" customFormat="1" ht="16.5" customHeight="1" x14ac:dyDescent="0.3">
      <c r="C20" s="41"/>
      <c r="D20" s="32"/>
      <c r="E20" s="43"/>
      <c r="F20" s="34"/>
      <c r="G20" s="35"/>
      <c r="H20" s="34"/>
      <c r="I20" s="34"/>
      <c r="J20" s="44"/>
      <c r="K20" s="37"/>
      <c r="L20" s="38"/>
      <c r="M20" s="38"/>
      <c r="N20" s="21"/>
      <c r="O20" s="32"/>
      <c r="P20" s="35"/>
      <c r="Q20" s="39"/>
      <c r="R20" s="40"/>
      <c r="S20" s="35"/>
      <c r="T20" s="34"/>
      <c r="U20" s="35"/>
      <c r="V20" s="31"/>
      <c r="W20" s="39"/>
      <c r="X20" s="40"/>
    </row>
    <row r="21" spans="2:24" s="2" customFormat="1" ht="16.5" customHeight="1" x14ac:dyDescent="0.3">
      <c r="C21" s="41"/>
      <c r="D21" s="34"/>
      <c r="E21" s="45"/>
      <c r="F21" s="34"/>
      <c r="G21" s="35"/>
      <c r="H21" s="35"/>
      <c r="I21" s="34"/>
      <c r="J21" s="33"/>
      <c r="K21" s="37"/>
      <c r="L21" s="38"/>
      <c r="M21" s="38"/>
      <c r="N21" s="21"/>
      <c r="O21" s="32"/>
      <c r="P21" s="45"/>
      <c r="Q21" s="39"/>
      <c r="R21" s="40"/>
      <c r="S21" s="35"/>
      <c r="T21" s="34"/>
      <c r="U21" s="35"/>
      <c r="V21" s="31"/>
      <c r="W21" s="39"/>
      <c r="X21" s="40"/>
    </row>
    <row r="22" spans="2:24" ht="16.5" customHeight="1" x14ac:dyDescent="0.3">
      <c r="N22" s="14"/>
      <c r="X22" s="46"/>
    </row>
    <row r="23" spans="2:24" ht="16.5" customHeight="1" x14ac:dyDescent="0.3">
      <c r="C23" s="90" t="s">
        <v>183</v>
      </c>
      <c r="D23" s="90"/>
      <c r="E23" s="90"/>
      <c r="F23" s="90"/>
      <c r="G23" s="90"/>
      <c r="H23" s="90"/>
      <c r="I23" s="90"/>
      <c r="J23" s="90"/>
      <c r="K23" s="90"/>
      <c r="L23" s="100"/>
      <c r="M23" s="69"/>
      <c r="N23" s="94" t="s">
        <v>182</v>
      </c>
      <c r="O23" s="90"/>
      <c r="P23" s="90"/>
      <c r="Q23" s="90"/>
      <c r="R23" s="90"/>
      <c r="S23" s="90"/>
      <c r="T23" s="90"/>
      <c r="U23" s="90"/>
      <c r="V23" s="90"/>
      <c r="W23" s="100"/>
      <c r="X23" s="88" t="s">
        <v>175</v>
      </c>
    </row>
    <row r="24" spans="2:24" ht="16.5" customHeight="1" x14ac:dyDescent="0.3">
      <c r="C24" s="15" t="s">
        <v>179</v>
      </c>
      <c r="D24" s="15" t="s">
        <v>184</v>
      </c>
      <c r="E24" s="15" t="s">
        <v>192</v>
      </c>
      <c r="F24" s="15" t="s">
        <v>186</v>
      </c>
      <c r="G24" s="15" t="s">
        <v>187</v>
      </c>
      <c r="H24" s="15" t="s">
        <v>188</v>
      </c>
      <c r="I24" s="15" t="s">
        <v>189</v>
      </c>
      <c r="J24" s="15" t="s">
        <v>157</v>
      </c>
      <c r="K24" s="15" t="s">
        <v>190</v>
      </c>
      <c r="L24" s="28" t="s">
        <v>191</v>
      </c>
      <c r="M24" s="68"/>
      <c r="N24" s="29" t="s">
        <v>179</v>
      </c>
      <c r="O24" s="30" t="s">
        <v>184</v>
      </c>
      <c r="P24" s="30" t="s">
        <v>185</v>
      </c>
      <c r="Q24" s="30" t="s">
        <v>186</v>
      </c>
      <c r="R24" s="30" t="s">
        <v>187</v>
      </c>
      <c r="S24" s="30" t="s">
        <v>188</v>
      </c>
      <c r="T24" s="15" t="s">
        <v>189</v>
      </c>
      <c r="U24" s="30" t="s">
        <v>157</v>
      </c>
      <c r="V24" s="30" t="s">
        <v>190</v>
      </c>
      <c r="W24" s="30" t="s">
        <v>191</v>
      </c>
      <c r="X24" s="89"/>
    </row>
    <row r="25" spans="2:24" s="1" customFormat="1" ht="16.5" customHeight="1" x14ac:dyDescent="0.3">
      <c r="B25" s="1" t="s">
        <v>266</v>
      </c>
      <c r="C25" s="62" t="s">
        <v>180</v>
      </c>
      <c r="D25" s="39">
        <v>1</v>
      </c>
      <c r="E25" s="47" t="s">
        <v>193</v>
      </c>
      <c r="F25" s="39" t="s">
        <v>194</v>
      </c>
      <c r="G25" s="48" t="s">
        <v>195</v>
      </c>
      <c r="H25" s="60" t="s">
        <v>196</v>
      </c>
      <c r="I25" s="39" t="s">
        <v>194</v>
      </c>
      <c r="J25" s="35" t="s">
        <v>197</v>
      </c>
      <c r="K25" s="50"/>
      <c r="L25" s="51"/>
      <c r="M25" s="51" t="s">
        <v>268</v>
      </c>
      <c r="N25" s="21" t="s">
        <v>180</v>
      </c>
      <c r="O25" s="39">
        <v>1</v>
      </c>
      <c r="P25" s="47" t="s">
        <v>193</v>
      </c>
      <c r="Q25" s="39" t="s">
        <v>194</v>
      </c>
      <c r="R25" s="48" t="s">
        <v>198</v>
      </c>
      <c r="S25" s="60" t="s">
        <v>196</v>
      </c>
      <c r="T25" s="39" t="s">
        <v>194</v>
      </c>
      <c r="U25" s="35" t="s">
        <v>197</v>
      </c>
      <c r="V25" s="50"/>
      <c r="W25" s="39"/>
      <c r="X25" s="52"/>
    </row>
    <row r="26" spans="2:24" s="1" customFormat="1" ht="16.5" customHeight="1" x14ac:dyDescent="0.3">
      <c r="B26" s="1" t="s">
        <v>266</v>
      </c>
      <c r="C26" s="33"/>
      <c r="D26" s="39">
        <v>2</v>
      </c>
      <c r="E26" s="47" t="s">
        <v>199</v>
      </c>
      <c r="F26" s="39" t="s">
        <v>196</v>
      </c>
      <c r="G26" s="48" t="s">
        <v>200</v>
      </c>
      <c r="H26" s="60">
        <v>1</v>
      </c>
      <c r="I26" s="39" t="s">
        <v>194</v>
      </c>
      <c r="J26" s="35" t="s">
        <v>199</v>
      </c>
      <c r="K26" s="50"/>
      <c r="L26" s="51"/>
      <c r="M26" s="51" t="s">
        <v>268</v>
      </c>
      <c r="N26" s="23"/>
      <c r="O26" s="39">
        <v>2</v>
      </c>
      <c r="P26" s="47" t="s">
        <v>199</v>
      </c>
      <c r="Q26" s="39" t="s">
        <v>196</v>
      </c>
      <c r="R26" s="48" t="s">
        <v>200</v>
      </c>
      <c r="S26" s="60">
        <v>1</v>
      </c>
      <c r="T26" s="39" t="s">
        <v>194</v>
      </c>
      <c r="U26" s="35" t="s">
        <v>199</v>
      </c>
      <c r="V26" s="50"/>
      <c r="W26" s="39"/>
      <c r="X26" s="52"/>
    </row>
    <row r="27" spans="2:24" s="1" customFormat="1" ht="16.5" customHeight="1" x14ac:dyDescent="0.3">
      <c r="B27" s="1" t="s">
        <v>266</v>
      </c>
      <c r="C27" s="33"/>
      <c r="D27" s="39">
        <v>3</v>
      </c>
      <c r="E27" s="47" t="s">
        <v>201</v>
      </c>
      <c r="F27" s="39" t="s">
        <v>196</v>
      </c>
      <c r="G27" s="48" t="s">
        <v>200</v>
      </c>
      <c r="H27" s="60">
        <v>50</v>
      </c>
      <c r="I27" s="39" t="s">
        <v>194</v>
      </c>
      <c r="J27" s="35" t="s">
        <v>202</v>
      </c>
      <c r="K27" s="50"/>
      <c r="L27" s="51"/>
      <c r="M27" s="51" t="s">
        <v>268</v>
      </c>
      <c r="N27" s="23"/>
      <c r="O27" s="39">
        <v>3</v>
      </c>
      <c r="P27" s="47" t="s">
        <v>201</v>
      </c>
      <c r="Q27" s="39" t="s">
        <v>196</v>
      </c>
      <c r="R27" s="48" t="s">
        <v>200</v>
      </c>
      <c r="S27" s="60">
        <v>50</v>
      </c>
      <c r="T27" s="39" t="s">
        <v>194</v>
      </c>
      <c r="U27" s="35" t="s">
        <v>202</v>
      </c>
      <c r="V27" s="50"/>
      <c r="W27" s="39"/>
      <c r="X27" s="52"/>
    </row>
    <row r="28" spans="2:24" s="1" customFormat="1" ht="16.5" customHeight="1" x14ac:dyDescent="0.3">
      <c r="B28" s="1" t="s">
        <v>266</v>
      </c>
      <c r="C28" s="33"/>
      <c r="D28" s="39">
        <v>4</v>
      </c>
      <c r="E28" s="47" t="s">
        <v>203</v>
      </c>
      <c r="F28" s="39" t="s">
        <v>196</v>
      </c>
      <c r="G28" s="48" t="s">
        <v>200</v>
      </c>
      <c r="H28" s="60">
        <v>254</v>
      </c>
      <c r="I28" s="39" t="s">
        <v>194</v>
      </c>
      <c r="J28" s="35" t="s">
        <v>204</v>
      </c>
      <c r="K28" s="50"/>
      <c r="L28" s="51"/>
      <c r="M28" s="51" t="s">
        <v>268</v>
      </c>
      <c r="N28" s="23"/>
      <c r="O28" s="39">
        <v>4</v>
      </c>
      <c r="P28" s="47" t="s">
        <v>203</v>
      </c>
      <c r="Q28" s="39" t="s">
        <v>196</v>
      </c>
      <c r="R28" s="48" t="s">
        <v>200</v>
      </c>
      <c r="S28" s="60">
        <v>254</v>
      </c>
      <c r="T28" s="39" t="s">
        <v>194</v>
      </c>
      <c r="U28" s="35" t="s">
        <v>204</v>
      </c>
      <c r="V28" s="50"/>
      <c r="W28" s="39"/>
      <c r="X28" s="52"/>
    </row>
    <row r="29" spans="2:24" s="1" customFormat="1" ht="16.5" customHeight="1" x14ac:dyDescent="0.3">
      <c r="B29" s="1" t="s">
        <v>266</v>
      </c>
      <c r="C29" s="33"/>
      <c r="D29" s="39">
        <v>5</v>
      </c>
      <c r="E29" s="47" t="s">
        <v>205</v>
      </c>
      <c r="F29" s="39" t="s">
        <v>196</v>
      </c>
      <c r="G29" s="48" t="s">
        <v>200</v>
      </c>
      <c r="H29" s="60">
        <v>4000</v>
      </c>
      <c r="I29" s="39" t="s">
        <v>194</v>
      </c>
      <c r="J29" s="35" t="s">
        <v>206</v>
      </c>
      <c r="K29" s="50"/>
      <c r="L29" s="51"/>
      <c r="M29" s="51" t="s">
        <v>268</v>
      </c>
      <c r="N29" s="23"/>
      <c r="O29" s="39">
        <v>5</v>
      </c>
      <c r="P29" s="47" t="s">
        <v>205</v>
      </c>
      <c r="Q29" s="39" t="s">
        <v>196</v>
      </c>
      <c r="R29" s="48" t="s">
        <v>200</v>
      </c>
      <c r="S29" s="60">
        <v>4000</v>
      </c>
      <c r="T29" s="39" t="s">
        <v>194</v>
      </c>
      <c r="U29" s="35" t="s">
        <v>206</v>
      </c>
      <c r="V29" s="50"/>
      <c r="W29" s="39"/>
      <c r="X29" s="52"/>
    </row>
    <row r="30" spans="2:24" s="1" customFormat="1" ht="16.5" customHeight="1" x14ac:dyDescent="0.3">
      <c r="B30" s="1" t="s">
        <v>266</v>
      </c>
      <c r="C30" s="33"/>
      <c r="D30" s="39">
        <v>6</v>
      </c>
      <c r="E30" s="47" t="s">
        <v>207</v>
      </c>
      <c r="F30" s="39" t="s">
        <v>196</v>
      </c>
      <c r="G30" s="48" t="s">
        <v>200</v>
      </c>
      <c r="H30" s="60">
        <v>3</v>
      </c>
      <c r="I30" s="39" t="s">
        <v>194</v>
      </c>
      <c r="J30" s="35" t="s">
        <v>253</v>
      </c>
      <c r="K30" s="50"/>
      <c r="L30" s="51"/>
      <c r="M30" s="51" t="s">
        <v>268</v>
      </c>
      <c r="N30" s="23"/>
      <c r="O30" s="39">
        <v>6</v>
      </c>
      <c r="P30" s="47" t="s">
        <v>207</v>
      </c>
      <c r="Q30" s="39" t="s">
        <v>196</v>
      </c>
      <c r="R30" s="48" t="s">
        <v>200</v>
      </c>
      <c r="S30" s="60">
        <v>3</v>
      </c>
      <c r="T30" s="39" t="s">
        <v>194</v>
      </c>
      <c r="U30" s="35" t="s">
        <v>253</v>
      </c>
      <c r="V30" s="50"/>
      <c r="W30" s="39"/>
      <c r="X30" s="52"/>
    </row>
    <row r="31" spans="2:24" s="1" customFormat="1" ht="16.5" customHeight="1" x14ac:dyDescent="0.3">
      <c r="B31" s="1" t="s">
        <v>266</v>
      </c>
      <c r="C31" s="33"/>
      <c r="D31" s="39">
        <v>7</v>
      </c>
      <c r="E31" s="47" t="s">
        <v>208</v>
      </c>
      <c r="F31" s="39" t="s">
        <v>196</v>
      </c>
      <c r="G31" s="48" t="s">
        <v>195</v>
      </c>
      <c r="H31" s="60"/>
      <c r="I31" s="39" t="s">
        <v>194</v>
      </c>
      <c r="J31" s="35" t="s">
        <v>208</v>
      </c>
      <c r="K31" s="50"/>
      <c r="L31" s="51"/>
      <c r="M31" s="51" t="s">
        <v>268</v>
      </c>
      <c r="N31" s="23"/>
      <c r="O31" s="39">
        <v>7</v>
      </c>
      <c r="P31" s="47" t="s">
        <v>208</v>
      </c>
      <c r="Q31" s="39" t="s">
        <v>196</v>
      </c>
      <c r="R31" s="48" t="s">
        <v>209</v>
      </c>
      <c r="S31" s="60" t="s">
        <v>210</v>
      </c>
      <c r="T31" s="39" t="s">
        <v>194</v>
      </c>
      <c r="U31" s="35" t="s">
        <v>208</v>
      </c>
      <c r="V31" s="50"/>
      <c r="W31" s="39"/>
      <c r="X31" s="52"/>
    </row>
    <row r="32" spans="2:24" s="1" customFormat="1" ht="16.5" customHeight="1" x14ac:dyDescent="0.3">
      <c r="B32" s="1" t="s">
        <v>266</v>
      </c>
      <c r="C32" s="33"/>
      <c r="D32" s="39">
        <v>8</v>
      </c>
      <c r="E32" s="47" t="s">
        <v>211</v>
      </c>
      <c r="F32" s="39" t="s">
        <v>196</v>
      </c>
      <c r="G32" s="48" t="s">
        <v>200</v>
      </c>
      <c r="H32" s="60">
        <v>100</v>
      </c>
      <c r="I32" s="39" t="s">
        <v>194</v>
      </c>
      <c r="J32" s="35" t="s">
        <v>212</v>
      </c>
      <c r="K32" s="50"/>
      <c r="L32" s="51"/>
      <c r="M32" s="51" t="s">
        <v>268</v>
      </c>
      <c r="N32" s="23"/>
      <c r="O32" s="39">
        <v>8</v>
      </c>
      <c r="P32" s="47" t="s">
        <v>211</v>
      </c>
      <c r="Q32" s="39" t="s">
        <v>196</v>
      </c>
      <c r="R32" s="48" t="s">
        <v>200</v>
      </c>
      <c r="S32" s="60">
        <v>100</v>
      </c>
      <c r="T32" s="39" t="s">
        <v>194</v>
      </c>
      <c r="U32" s="35" t="s">
        <v>212</v>
      </c>
      <c r="V32" s="50"/>
      <c r="W32" s="39"/>
      <c r="X32" s="52"/>
    </row>
    <row r="33" spans="2:24" s="1" customFormat="1" ht="16.5" customHeight="1" x14ac:dyDescent="0.3">
      <c r="B33" s="1" t="s">
        <v>266</v>
      </c>
      <c r="C33" s="33"/>
      <c r="D33" s="39">
        <v>9</v>
      </c>
      <c r="E33" s="47" t="s">
        <v>213</v>
      </c>
      <c r="F33" s="39" t="s">
        <v>196</v>
      </c>
      <c r="G33" s="48" t="s">
        <v>214</v>
      </c>
      <c r="H33" s="60"/>
      <c r="I33" s="39" t="s">
        <v>194</v>
      </c>
      <c r="J33" s="35" t="s">
        <v>215</v>
      </c>
      <c r="K33" s="50"/>
      <c r="L33" s="51"/>
      <c r="M33" s="51" t="s">
        <v>268</v>
      </c>
      <c r="N33" s="23"/>
      <c r="O33" s="39">
        <v>9</v>
      </c>
      <c r="P33" s="47" t="s">
        <v>213</v>
      </c>
      <c r="Q33" s="39" t="s">
        <v>196</v>
      </c>
      <c r="R33" s="48" t="s">
        <v>214</v>
      </c>
      <c r="S33" s="60"/>
      <c r="T33" s="39" t="s">
        <v>194</v>
      </c>
      <c r="U33" s="35" t="s">
        <v>215</v>
      </c>
      <c r="V33" s="50"/>
      <c r="W33" s="39"/>
      <c r="X33" s="52"/>
    </row>
    <row r="34" spans="2:24" s="1" customFormat="1" ht="16.5" customHeight="1" x14ac:dyDescent="0.3">
      <c r="B34" s="1" t="s">
        <v>266</v>
      </c>
      <c r="C34" s="33"/>
      <c r="D34" s="39">
        <v>10</v>
      </c>
      <c r="E34" s="47" t="s">
        <v>216</v>
      </c>
      <c r="F34" s="39" t="s">
        <v>196</v>
      </c>
      <c r="G34" s="48" t="s">
        <v>195</v>
      </c>
      <c r="H34" s="60"/>
      <c r="I34" s="39" t="s">
        <v>194</v>
      </c>
      <c r="J34" s="35" t="s">
        <v>216</v>
      </c>
      <c r="K34" s="50"/>
      <c r="L34" s="51"/>
      <c r="M34" s="51" t="s">
        <v>268</v>
      </c>
      <c r="N34" s="23"/>
      <c r="O34" s="39">
        <v>10</v>
      </c>
      <c r="P34" s="47" t="s">
        <v>216</v>
      </c>
      <c r="Q34" s="39" t="s">
        <v>196</v>
      </c>
      <c r="R34" s="48" t="s">
        <v>209</v>
      </c>
      <c r="S34" s="60" t="s">
        <v>210</v>
      </c>
      <c r="T34" s="39" t="s">
        <v>194</v>
      </c>
      <c r="U34" s="35" t="s">
        <v>216</v>
      </c>
      <c r="V34" s="50"/>
      <c r="W34" s="39"/>
      <c r="X34" s="52"/>
    </row>
    <row r="35" spans="2:24" s="1" customFormat="1" ht="16.5" customHeight="1" x14ac:dyDescent="0.3">
      <c r="B35" s="1" t="s">
        <v>266</v>
      </c>
      <c r="C35" s="33"/>
      <c r="D35" s="39">
        <v>11</v>
      </c>
      <c r="E35" s="47" t="s">
        <v>217</v>
      </c>
      <c r="F35" s="39" t="s">
        <v>196</v>
      </c>
      <c r="G35" s="48" t="s">
        <v>200</v>
      </c>
      <c r="H35" s="60">
        <v>50</v>
      </c>
      <c r="I35" s="39" t="s">
        <v>194</v>
      </c>
      <c r="J35" s="35" t="s">
        <v>217</v>
      </c>
      <c r="K35" s="50"/>
      <c r="L35" s="51"/>
      <c r="M35" s="51" t="s">
        <v>268</v>
      </c>
      <c r="N35" s="23"/>
      <c r="O35" s="39">
        <v>11</v>
      </c>
      <c r="P35" s="47" t="s">
        <v>217</v>
      </c>
      <c r="Q35" s="39" t="s">
        <v>196</v>
      </c>
      <c r="R35" s="48" t="s">
        <v>200</v>
      </c>
      <c r="S35" s="60">
        <v>50</v>
      </c>
      <c r="T35" s="39" t="s">
        <v>194</v>
      </c>
      <c r="U35" s="35" t="s">
        <v>217</v>
      </c>
      <c r="V35" s="50"/>
      <c r="W35" s="39"/>
      <c r="X35" s="52"/>
    </row>
    <row r="36" spans="2:24" s="1" customFormat="1" ht="16.5" customHeight="1" x14ac:dyDescent="0.3">
      <c r="B36" s="1" t="s">
        <v>266</v>
      </c>
      <c r="C36" s="33"/>
      <c r="D36" s="39">
        <v>12</v>
      </c>
      <c r="E36" s="47" t="s">
        <v>218</v>
      </c>
      <c r="F36" s="39"/>
      <c r="G36" s="48" t="s">
        <v>200</v>
      </c>
      <c r="H36" s="60">
        <v>1</v>
      </c>
      <c r="I36" s="39"/>
      <c r="J36" s="35" t="s">
        <v>218</v>
      </c>
      <c r="K36" s="50"/>
      <c r="L36" s="51"/>
      <c r="M36" s="51" t="s">
        <v>268</v>
      </c>
      <c r="N36" s="23"/>
      <c r="O36" s="39">
        <v>12</v>
      </c>
      <c r="P36" s="47" t="s">
        <v>218</v>
      </c>
      <c r="Q36" s="39"/>
      <c r="R36" s="48" t="s">
        <v>200</v>
      </c>
      <c r="S36" s="60">
        <v>1</v>
      </c>
      <c r="T36" s="39"/>
      <c r="U36" s="35" t="s">
        <v>218</v>
      </c>
      <c r="V36" s="50"/>
      <c r="W36" s="39"/>
      <c r="X36" s="52"/>
    </row>
    <row r="37" spans="2:24" s="1" customFormat="1" ht="16.5" customHeight="1" x14ac:dyDescent="0.3">
      <c r="B37" s="1" t="s">
        <v>266</v>
      </c>
      <c r="C37" s="33"/>
      <c r="D37" s="39">
        <v>13</v>
      </c>
      <c r="E37" s="47" t="s">
        <v>219</v>
      </c>
      <c r="F37" s="39"/>
      <c r="G37" s="48" t="s">
        <v>195</v>
      </c>
      <c r="H37" s="60"/>
      <c r="I37" s="39"/>
      <c r="J37" s="35" t="s">
        <v>254</v>
      </c>
      <c r="K37" s="50"/>
      <c r="L37" s="51"/>
      <c r="M37" s="51" t="s">
        <v>268</v>
      </c>
      <c r="N37" s="23"/>
      <c r="O37" s="39">
        <v>13</v>
      </c>
      <c r="P37" s="47" t="s">
        <v>219</v>
      </c>
      <c r="Q37" s="39"/>
      <c r="R37" s="48" t="s">
        <v>209</v>
      </c>
      <c r="S37" s="60" t="s">
        <v>210</v>
      </c>
      <c r="T37" s="39"/>
      <c r="U37" s="35" t="s">
        <v>254</v>
      </c>
      <c r="V37" s="50"/>
      <c r="W37" s="39"/>
      <c r="X37" s="52"/>
    </row>
    <row r="38" spans="2:24" s="1" customFormat="1" ht="16.5" customHeight="1" x14ac:dyDescent="0.3">
      <c r="B38" s="1" t="s">
        <v>266</v>
      </c>
      <c r="C38" s="33"/>
      <c r="D38" s="39">
        <v>14</v>
      </c>
      <c r="E38" s="47" t="s">
        <v>220</v>
      </c>
      <c r="F38" s="39"/>
      <c r="G38" s="48" t="s">
        <v>195</v>
      </c>
      <c r="H38" s="60"/>
      <c r="I38" s="39"/>
      <c r="J38" s="35" t="s">
        <v>255</v>
      </c>
      <c r="K38" s="50"/>
      <c r="L38" s="51"/>
      <c r="M38" s="51" t="s">
        <v>268</v>
      </c>
      <c r="N38" s="23"/>
      <c r="O38" s="39">
        <v>14</v>
      </c>
      <c r="P38" s="47" t="s">
        <v>220</v>
      </c>
      <c r="Q38" s="39"/>
      <c r="R38" s="48" t="s">
        <v>209</v>
      </c>
      <c r="S38" s="60" t="s">
        <v>210</v>
      </c>
      <c r="T38" s="39"/>
      <c r="U38" s="35" t="s">
        <v>255</v>
      </c>
      <c r="V38" s="50"/>
      <c r="W38" s="39"/>
      <c r="X38" s="52"/>
    </row>
    <row r="39" spans="2:24" s="1" customFormat="1" ht="16.5" customHeight="1" x14ac:dyDescent="0.3">
      <c r="B39" s="1" t="s">
        <v>266</v>
      </c>
      <c r="C39" s="33"/>
      <c r="D39" s="39">
        <v>15</v>
      </c>
      <c r="E39" s="47" t="s">
        <v>221</v>
      </c>
      <c r="F39" s="39"/>
      <c r="G39" s="48" t="s">
        <v>200</v>
      </c>
      <c r="H39" s="60">
        <v>1</v>
      </c>
      <c r="I39" s="39"/>
      <c r="J39" s="35" t="s">
        <v>256</v>
      </c>
      <c r="K39" s="50"/>
      <c r="L39" s="51"/>
      <c r="M39" s="51" t="s">
        <v>268</v>
      </c>
      <c r="N39" s="23"/>
      <c r="O39" s="39">
        <v>15</v>
      </c>
      <c r="P39" s="47" t="s">
        <v>221</v>
      </c>
      <c r="Q39" s="39"/>
      <c r="R39" s="48" t="s">
        <v>200</v>
      </c>
      <c r="S39" s="60">
        <v>1</v>
      </c>
      <c r="T39" s="39"/>
      <c r="U39" s="35" t="s">
        <v>256</v>
      </c>
      <c r="V39" s="50"/>
      <c r="W39" s="39"/>
      <c r="X39" s="52"/>
    </row>
    <row r="40" spans="2:24" s="1" customFormat="1" ht="16.5" customHeight="1" x14ac:dyDescent="0.3">
      <c r="B40" s="1" t="s">
        <v>266</v>
      </c>
      <c r="C40" s="53"/>
      <c r="D40" s="39">
        <v>16</v>
      </c>
      <c r="E40" t="s">
        <v>222</v>
      </c>
      <c r="F40" s="22"/>
      <c r="G40" s="49" t="s">
        <v>200</v>
      </c>
      <c r="H40" s="24">
        <v>1</v>
      </c>
      <c r="I40" s="39" t="s">
        <v>21</v>
      </c>
      <c r="J40" s="54" t="s">
        <v>223</v>
      </c>
      <c r="K40" s="35"/>
      <c r="L40" s="51"/>
      <c r="M40" s="51"/>
      <c r="N40" s="21"/>
      <c r="O40" s="39"/>
      <c r="P40"/>
      <c r="Q40" s="22"/>
      <c r="R40" s="49"/>
      <c r="S40" s="24"/>
      <c r="T40" s="55"/>
      <c r="U40" s="54"/>
      <c r="V40" s="40"/>
      <c r="W40" s="39"/>
      <c r="X40" s="52"/>
    </row>
    <row r="41" spans="2:24" s="1" customFormat="1" ht="16.5" customHeight="1" x14ac:dyDescent="0.3">
      <c r="B41" s="1" t="s">
        <v>266</v>
      </c>
      <c r="C41" s="53"/>
      <c r="D41" s="39">
        <v>17</v>
      </c>
      <c r="E41" s="52" t="s">
        <v>224</v>
      </c>
      <c r="F41" s="52"/>
      <c r="G41" s="49" t="s">
        <v>200</v>
      </c>
      <c r="H41" s="56">
        <v>36</v>
      </c>
      <c r="I41" s="39" t="s">
        <v>21</v>
      </c>
      <c r="J41" s="54" t="s">
        <v>225</v>
      </c>
      <c r="K41" s="35"/>
      <c r="L41" s="51"/>
      <c r="M41" s="51"/>
      <c r="N41" s="21"/>
      <c r="O41" s="39"/>
      <c r="P41" s="52"/>
      <c r="Q41" s="52"/>
      <c r="R41" s="49"/>
      <c r="S41" s="56"/>
      <c r="T41" s="55"/>
      <c r="U41" s="54"/>
      <c r="V41" s="40"/>
      <c r="W41" s="39"/>
      <c r="X41" s="52"/>
    </row>
    <row r="42" spans="2:24" s="1" customFormat="1" ht="16.5" customHeight="1" x14ac:dyDescent="0.3">
      <c r="B42" s="1" t="s">
        <v>266</v>
      </c>
      <c r="C42" s="53"/>
      <c r="D42" s="39">
        <v>18</v>
      </c>
      <c r="E42" s="52" t="s">
        <v>226</v>
      </c>
      <c r="F42" s="52"/>
      <c r="G42" s="49" t="s">
        <v>214</v>
      </c>
      <c r="H42" s="56"/>
      <c r="I42" s="39" t="s">
        <v>21</v>
      </c>
      <c r="J42" s="54" t="s">
        <v>227</v>
      </c>
      <c r="K42" s="35"/>
      <c r="L42" s="51"/>
      <c r="M42" s="51"/>
      <c r="N42" s="21"/>
      <c r="O42" s="39"/>
      <c r="P42" s="52"/>
      <c r="Q42" s="52"/>
      <c r="R42" s="49"/>
      <c r="S42" s="56"/>
      <c r="T42" s="52"/>
      <c r="U42" s="54"/>
      <c r="V42" s="40"/>
      <c r="W42" s="39"/>
      <c r="X42" s="52"/>
    </row>
    <row r="43" spans="2:24" s="1" customFormat="1" ht="16.5" customHeight="1" x14ac:dyDescent="0.3">
      <c r="C43" s="53"/>
      <c r="D43" s="39"/>
      <c r="E43" s="47"/>
      <c r="F43" s="39"/>
      <c r="G43" s="49"/>
      <c r="H43" s="57"/>
      <c r="I43" s="58"/>
      <c r="J43" s="35"/>
      <c r="K43" s="35"/>
      <c r="L43" s="51"/>
      <c r="M43" s="51"/>
      <c r="N43" s="21"/>
      <c r="O43" s="39"/>
      <c r="P43" s="47"/>
      <c r="Q43" s="39"/>
      <c r="R43" s="49"/>
      <c r="S43" s="57"/>
      <c r="T43" s="58"/>
      <c r="U43" s="35"/>
      <c r="V43" s="40"/>
      <c r="W43" s="39"/>
      <c r="X43" s="52"/>
    </row>
    <row r="44" spans="2:24" s="1" customFormat="1" ht="16.5" customHeight="1" x14ac:dyDescent="0.3">
      <c r="B44" s="1" t="s">
        <v>267</v>
      </c>
      <c r="C44" s="59" t="s">
        <v>228</v>
      </c>
      <c r="D44" s="39">
        <v>1</v>
      </c>
      <c r="E44" s="47" t="s">
        <v>229</v>
      </c>
      <c r="F44" s="39"/>
      <c r="G44" s="49" t="s">
        <v>200</v>
      </c>
      <c r="H44" s="60">
        <v>50</v>
      </c>
      <c r="I44" s="58"/>
      <c r="J44" s="35" t="s">
        <v>230</v>
      </c>
      <c r="K44" s="35"/>
      <c r="L44" s="51"/>
      <c r="M44" s="51"/>
      <c r="N44" s="21"/>
      <c r="O44" s="39"/>
      <c r="P44" s="47"/>
      <c r="Q44" s="39"/>
      <c r="R44" s="49"/>
      <c r="S44" s="57"/>
      <c r="T44" s="58"/>
      <c r="U44" s="35"/>
      <c r="V44" s="40"/>
      <c r="W44" s="39"/>
      <c r="X44" s="52"/>
    </row>
    <row r="45" spans="2:24" s="1" customFormat="1" ht="16.5" customHeight="1" x14ac:dyDescent="0.3">
      <c r="B45" s="1" t="s">
        <v>267</v>
      </c>
      <c r="C45" s="53"/>
      <c r="D45" s="39">
        <v>2</v>
      </c>
      <c r="E45" s="47" t="s">
        <v>231</v>
      </c>
      <c r="F45" s="39"/>
      <c r="G45" s="49" t="s">
        <v>200</v>
      </c>
      <c r="H45" s="60">
        <v>250</v>
      </c>
      <c r="I45" s="58"/>
      <c r="J45" s="35" t="s">
        <v>232</v>
      </c>
      <c r="K45" s="35"/>
      <c r="L45" s="51"/>
      <c r="M45" s="51"/>
      <c r="N45" s="21"/>
      <c r="O45" s="39"/>
      <c r="P45" s="47"/>
      <c r="Q45" s="39"/>
      <c r="R45" s="49"/>
      <c r="S45" s="57"/>
      <c r="T45" s="58"/>
      <c r="U45" s="35"/>
      <c r="V45" s="40"/>
      <c r="W45" s="39"/>
      <c r="X45" s="52"/>
    </row>
    <row r="46" spans="2:24" s="1" customFormat="1" ht="16.5" customHeight="1" x14ac:dyDescent="0.3">
      <c r="B46" s="1" t="s">
        <v>267</v>
      </c>
      <c r="C46" s="53"/>
      <c r="D46" s="39">
        <v>3</v>
      </c>
      <c r="E46" s="47" t="s">
        <v>233</v>
      </c>
      <c r="F46" s="39"/>
      <c r="G46" s="49" t="s">
        <v>200</v>
      </c>
      <c r="H46" s="60">
        <v>250</v>
      </c>
      <c r="I46" s="58"/>
      <c r="J46" s="35" t="s">
        <v>234</v>
      </c>
      <c r="K46" s="35"/>
      <c r="L46" s="51"/>
      <c r="M46" s="51"/>
      <c r="N46" s="21"/>
      <c r="O46" s="39"/>
      <c r="P46" s="47"/>
      <c r="Q46" s="39"/>
      <c r="R46" s="49"/>
      <c r="S46" s="57"/>
      <c r="T46" s="58"/>
      <c r="U46" s="35"/>
      <c r="V46" s="40"/>
      <c r="W46" s="39"/>
      <c r="X46" s="52"/>
    </row>
    <row r="47" spans="2:24" s="1" customFormat="1" ht="16.5" customHeight="1" x14ac:dyDescent="0.3">
      <c r="B47" s="1" t="s">
        <v>267</v>
      </c>
      <c r="C47" s="53"/>
      <c r="D47" s="39">
        <v>4</v>
      </c>
      <c r="E47" s="47" t="s">
        <v>235</v>
      </c>
      <c r="F47" s="39"/>
      <c r="G47" s="49" t="s">
        <v>200</v>
      </c>
      <c r="H47" s="60">
        <v>250</v>
      </c>
      <c r="I47" s="58"/>
      <c r="J47" s="35" t="s">
        <v>236</v>
      </c>
      <c r="K47" s="35"/>
      <c r="L47" s="51"/>
      <c r="M47" s="51"/>
      <c r="N47" s="21"/>
      <c r="O47" s="39"/>
      <c r="P47" s="47"/>
      <c r="Q47" s="39"/>
      <c r="R47" s="49"/>
      <c r="S47" s="57"/>
      <c r="T47" s="58"/>
      <c r="U47" s="35"/>
      <c r="V47" s="40"/>
      <c r="W47" s="39"/>
      <c r="X47" s="52"/>
    </row>
    <row r="48" spans="2:24" s="1" customFormat="1" ht="16.5" customHeight="1" x14ac:dyDescent="0.3">
      <c r="B48" s="1" t="s">
        <v>267</v>
      </c>
      <c r="C48" s="53"/>
      <c r="D48" s="39">
        <v>5</v>
      </c>
      <c r="E48" s="47" t="s">
        <v>237</v>
      </c>
      <c r="F48" s="39"/>
      <c r="G48" s="49" t="s">
        <v>200</v>
      </c>
      <c r="H48" s="60">
        <v>250</v>
      </c>
      <c r="I48" s="58"/>
      <c r="J48" s="35" t="s">
        <v>238</v>
      </c>
      <c r="K48" s="35"/>
      <c r="L48" s="51"/>
      <c r="M48" s="51"/>
      <c r="N48" s="21"/>
      <c r="O48" s="39"/>
      <c r="P48" s="47"/>
      <c r="Q48" s="39"/>
      <c r="R48" s="49"/>
      <c r="S48" s="57"/>
      <c r="T48" s="58"/>
      <c r="U48" s="35"/>
      <c r="V48" s="40"/>
      <c r="W48" s="39"/>
      <c r="X48" s="52"/>
    </row>
    <row r="49" spans="2:24" s="1" customFormat="1" ht="16.5" customHeight="1" x14ac:dyDescent="0.3">
      <c r="B49" s="1" t="s">
        <v>267</v>
      </c>
      <c r="C49" s="53"/>
      <c r="D49" s="39">
        <v>6</v>
      </c>
      <c r="E49" s="47" t="s">
        <v>239</v>
      </c>
      <c r="F49" s="39"/>
      <c r="G49" s="49" t="s">
        <v>200</v>
      </c>
      <c r="H49" s="60" t="s">
        <v>240</v>
      </c>
      <c r="I49" s="58"/>
      <c r="J49" s="35" t="s">
        <v>241</v>
      </c>
      <c r="K49" s="35"/>
      <c r="L49" s="51"/>
      <c r="M49" s="51"/>
      <c r="N49" s="21"/>
      <c r="O49" s="39"/>
      <c r="P49" s="47"/>
      <c r="Q49" s="39"/>
      <c r="R49" s="49"/>
      <c r="S49" s="57"/>
      <c r="T49" s="58"/>
      <c r="U49" s="35"/>
      <c r="V49" s="40"/>
      <c r="W49" s="39"/>
      <c r="X49" s="52"/>
    </row>
    <row r="50" spans="2:24" s="1" customFormat="1" ht="16.5" customHeight="1" x14ac:dyDescent="0.3">
      <c r="B50" s="1" t="s">
        <v>267</v>
      </c>
      <c r="C50" s="53"/>
      <c r="D50" s="39">
        <v>7</v>
      </c>
      <c r="E50" s="47" t="s">
        <v>242</v>
      </c>
      <c r="F50" s="39"/>
      <c r="G50" s="49" t="s">
        <v>200</v>
      </c>
      <c r="H50" s="57">
        <v>100</v>
      </c>
      <c r="I50" s="58"/>
      <c r="J50" s="31" t="s">
        <v>243</v>
      </c>
      <c r="K50" s="35"/>
      <c r="L50" s="51"/>
      <c r="M50" s="51"/>
      <c r="N50" s="21"/>
      <c r="O50" s="39"/>
      <c r="P50" s="47"/>
      <c r="Q50" s="39"/>
      <c r="R50" s="49"/>
      <c r="S50" s="57"/>
      <c r="T50" s="58"/>
      <c r="U50" s="35"/>
      <c r="V50" s="40"/>
      <c r="W50" s="39"/>
      <c r="X50" s="52"/>
    </row>
    <row r="51" spans="2:24" s="1" customFormat="1" ht="16.5" customHeight="1" x14ac:dyDescent="0.3">
      <c r="B51" s="1" t="s">
        <v>267</v>
      </c>
      <c r="C51" s="53"/>
      <c r="D51" s="39">
        <v>8</v>
      </c>
      <c r="E51" s="47" t="s">
        <v>244</v>
      </c>
      <c r="F51" s="39"/>
      <c r="G51" s="49" t="s">
        <v>200</v>
      </c>
      <c r="H51" s="60" t="s">
        <v>240</v>
      </c>
      <c r="I51" s="58"/>
      <c r="J51" s="31" t="s">
        <v>245</v>
      </c>
      <c r="K51" s="35"/>
      <c r="L51" s="51"/>
      <c r="M51" s="51"/>
      <c r="N51" s="21"/>
      <c r="O51" s="39"/>
      <c r="P51" s="47"/>
      <c r="Q51" s="39"/>
      <c r="R51" s="49"/>
      <c r="S51" s="35"/>
      <c r="T51" s="34"/>
      <c r="U51" s="61"/>
      <c r="V51" s="40"/>
      <c r="W51" s="39"/>
      <c r="X51" s="52"/>
    </row>
    <row r="52" spans="2:24" s="1" customFormat="1" ht="16.5" customHeight="1" x14ac:dyDescent="0.3">
      <c r="B52" s="1" t="s">
        <v>267</v>
      </c>
      <c r="C52" s="53"/>
      <c r="D52" s="39">
        <v>9</v>
      </c>
      <c r="E52" s="47" t="s">
        <v>246</v>
      </c>
      <c r="F52" s="39"/>
      <c r="G52" s="49" t="s">
        <v>200</v>
      </c>
      <c r="H52" s="57">
        <v>250</v>
      </c>
      <c r="I52" s="58"/>
      <c r="J52" s="31" t="s">
        <v>247</v>
      </c>
      <c r="K52" s="35"/>
      <c r="L52" s="51"/>
      <c r="M52" s="51"/>
      <c r="N52" s="21"/>
      <c r="O52" s="39"/>
      <c r="P52" s="35"/>
      <c r="Q52" s="39"/>
      <c r="R52" s="40"/>
      <c r="S52" s="40"/>
      <c r="T52" s="34"/>
      <c r="U52" s="35"/>
      <c r="V52" s="40"/>
      <c r="W52" s="39"/>
      <c r="X52" s="52"/>
    </row>
    <row r="53" spans="2:24" s="1" customFormat="1" x14ac:dyDescent="0.3">
      <c r="D53" s="4"/>
      <c r="G53" s="2"/>
      <c r="J53" s="5"/>
      <c r="L53" s="6"/>
      <c r="M53" s="6"/>
      <c r="O53" s="4"/>
      <c r="R53" s="2"/>
      <c r="U53" s="5"/>
      <c r="W53" s="6"/>
    </row>
    <row r="54" spans="2:24" ht="142.5" customHeight="1" x14ac:dyDescent="0.3">
      <c r="C54" s="15" t="s">
        <v>248</v>
      </c>
      <c r="D54" s="87" t="s">
        <v>249</v>
      </c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</row>
    <row r="56" spans="2:24" ht="249" customHeight="1" x14ac:dyDescent="0.3">
      <c r="C56" s="15" t="s">
        <v>257</v>
      </c>
      <c r="D56" s="86" t="s">
        <v>264</v>
      </c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</row>
  </sheetData>
  <mergeCells count="48"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56:X56"/>
    <mergeCell ref="D54:X54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</mergeCells>
  <phoneticPr fontId="2" type="noConversion"/>
  <dataValidations count="2">
    <dataValidation type="list" allowBlank="1" showInputMessage="1" showErrorMessage="1" sqref="T40:T41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$C$3:$C$51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T19:T21 I20:I21 T43:T52 I43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Code!$B$3:$B$70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I44:I52</xm:sqref>
        </x14:dataValidation>
        <x14:dataValidation type="list" allowBlank="1" showInputMessage="1" showErrorMessage="1" xr:uid="{00000000-0002-0000-0200-000007000000}">
          <x14:formula1>
            <xm:f>'\\hqfs1\00_ITO 공통\2022_데이터플랫폼 기반 BI 고도화\매핑정의서\COST\[인터페이스_매핑정의서_ECST_BI_MFG_COGS_DETAILS.xlsx]Code'!#REF!</xm:f>
          </x14:formula1>
          <xm:sqref>I18:I19 T18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8E1DC6-1C48-4E77-B518-1E15DFC39F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efe72180-9972-4f46-9c03-3d142a8e36e2"/>
    <ds:schemaRef ds:uri="546aa48d-480f-4c7b-808b-798d1e0b2ccb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IF_SRD_DPS_RMS_0002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2022-10-08T04:35:39Z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