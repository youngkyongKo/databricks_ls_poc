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0902\"/>
    </mc:Choice>
  </mc:AlternateContent>
  <xr:revisionPtr revIDLastSave="0" documentId="13_ncr:1_{FB4DACAB-5D68-4186-8FAB-DDC8693FA0C5}" xr6:coauthVersionLast="47" xr6:coauthVersionMax="47" xr10:uidLastSave="{00000000-0000-0000-0000-000000000000}"/>
  <bookViews>
    <workbookView xWindow="-120" yWindow="-120" windowWidth="290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DPS_EBIZ_0001" sheetId="5" r:id="rId3"/>
  </sheets>
  <externalReferences>
    <externalReference r:id="rId4"/>
  </externalReferences>
  <definedNames>
    <definedName name="_xlnm._FilterDatabase" localSheetId="2" hidden="1">IF_SRD_DPS_EBIZ_0001!$C$25:$X$31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<sst xmlns="http://schemas.openxmlformats.org/spreadsheetml/2006/main" count="379" uniqueCount="259">
  <si>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</si>
  <si>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</si>
  <si>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</si>
  <si>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</si>
  <si>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</si>
  <si>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</si>
  <si>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</si>
  <si>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</si>
  <si>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</si>
  <si>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</si>
  <si>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</si>
  <si>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</si>
  <si>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</si>
  <si>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</si>
  <si>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</si>
  <si>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</si>
  <si>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</si>
  <si>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</si>
  <si>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</si>
  <si>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</si>
  <si>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</si>
  <si>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</si>
  <si>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</si>
  <si>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</si>
  <si>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</si>
  <si>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</si>
  <si>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</si>
  <si>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</si>
  <si>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</si>
  <si>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</si>
  <si>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</si>
  <si>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</si>
  <si>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</si>
  <si>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</si>
  <si>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</si>
  <si>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</si>
  <si>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</si>
  <si>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</si>
  <si>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</si>
  <si>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</si>
  <si>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</si>
  <si>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</si>
  <si>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</si>
  <si>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</si>
  <si>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</si>
  <si>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</si>
  <si>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</si>
  <si>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</si>
  <si>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</si>
  <si>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</si>
  <si>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</si>
  <si>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</si>
  <si>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</si>
  <si>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</si>
  <si>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</si>
  <si>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</si>
  <si>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</si>
  <si>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</si>
  <si>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</si>
  <si>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</si>
  <si>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</si>
  <si>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</si>
  <si>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</si>
  <si>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</si>
  <si>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</si>
  <si>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</si>
  <si>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</si>
  <si>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</si>
  <si>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</si>
  <si>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</si>
  <si>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</si>
  <si>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</si>
  <si>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</si>
  <si>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</si>
  <si>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</si>
  <si>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</si>
  <si>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</si>
  <si>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</si>
  <si>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</si>
  <si>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</si>
  <si>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</si>
  <si>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</si>
  <si>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</si>
  <si>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</si>
  <si>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</si>
  <si>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</si>
  <si>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</si>
  <si>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</si>
  <si>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</si>
  <si>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</si>
  <si>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</si>
  <si>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</si>
  <si>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</si>
  <si>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</si>
  <si>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</si>
  <si>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</si>
  <si>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</si>
  <si>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</si>
  <si>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</si>
  <si>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</si>
  <si>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</si>
  <si>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</si>
  <si>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</si>
  <si>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</si>
  <si>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</si>
  <si>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</si>
  <si>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</si>
  <si>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</si>
  <si>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</si>
  <si>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</si>
  <si>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</si>
  <si>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</si>
  <si>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</si>
  <si>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</si>
  <si>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</si>
  <si>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</si>
  <si>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</si>
  <si>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</si>
  <si>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</si>
  <si>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</si>
  <si>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</si>
  <si>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</si>
  <si>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</si>
  <si>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</si>
  <si>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</si>
  <si>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</si>
  <si>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</si>
  <si>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</si>
  <si>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</si>
  <si>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</si>
  <si>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</si>
  <si>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</si>
  <si>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</si>
  <si>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</si>
  <si>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</si>
  <si>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</si>
  <si>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</si>
  <si>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</si>
  <si>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</si>
  <si>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</si>
  <si>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</si>
  <si>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</si>
  <si>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</si>
  <si>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</si>
  <si>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</si>
  <si>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</si>
  <si>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</si>
  <si>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</si>
  <si>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</si>
  <si>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</si>
  <si>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</si>
  <si>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</si>
  <si>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</si>
  <si>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</si>
  <si>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</si>
  <si>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</si>
  <si>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</si>
  <si>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</si>
  <si>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</si>
  <si>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</si>
  <si>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</si>
  <si>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</si>
  <si>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</si>
  <si>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</si>
  <si>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</si>
  <si>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</si>
  <si>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</si>
  <si>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</si>
  <si>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</si>
  <si>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</si>
  <si>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</si>
  <si>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</si>
  <si>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</si>
  <si>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</si>
  <si>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</si>
  <si>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</si>
  <si>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</si>
  <si>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</si>
  <si>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</si>
  <si>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</si>
  <si>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</si>
  <si>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</si>
  <si>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</si>
  <si>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Y</t>
  </si>
  <si>
    <t>이베스트</t>
    <phoneticPr fontId="2" type="noConversion"/>
  </si>
  <si>
    <t>EBEST</t>
    <phoneticPr fontId="2" type="noConversion"/>
  </si>
  <si>
    <t>DB</t>
  </si>
  <si>
    <t>1. SQL Query를 수행하여 Datalake Object에 Insert 한다.</t>
    <phoneticPr fontId="2" type="noConversion"/>
  </si>
  <si>
    <t>DATE</t>
  </si>
  <si>
    <t>1. Temp Table 을 Truncate 한다. (EAI에서는 빈 table에 최신 데이터를 전체 적재만 함)
2. EAI Rest API 호출
3. Temp에서 본 테이블로 적재. (해당 건은 전체 삭제 후 적재 형태)</t>
    <phoneticPr fontId="2" type="noConversion"/>
  </si>
  <si>
    <t>IF_RESULT</t>
  </si>
  <si>
    <t>IF_TRC_ID</t>
  </si>
  <si>
    <t>IF_DATE</t>
  </si>
  <si>
    <t>NVARCHAR</t>
  </si>
  <si>
    <t>SQL Query
(EAI 사용 쿼리)</t>
    <phoneticPr fontId="2" type="noConversion"/>
  </si>
  <si>
    <t>S1</t>
    <phoneticPr fontId="2" type="noConversion"/>
  </si>
  <si>
    <t>R1</t>
    <phoneticPr fontId="2" type="noConversion"/>
  </si>
  <si>
    <t>R2</t>
    <phoneticPr fontId="2" type="noConversion"/>
  </si>
  <si>
    <t>h</t>
    <phoneticPr fontId="2" type="noConversion"/>
  </si>
  <si>
    <t>소태호</t>
    <phoneticPr fontId="2" type="noConversion"/>
  </si>
  <si>
    <t>소태호</t>
    <phoneticPr fontId="4" type="noConversion"/>
  </si>
  <si>
    <t>재무코드 정보</t>
    <phoneticPr fontId="2" type="noConversion"/>
  </si>
  <si>
    <t>사업계획/이동계획(eBizPlanning)</t>
  </si>
  <si>
    <t>CO_GNMN_ACCT_CODE_INFO</t>
    <phoneticPr fontId="2" type="noConversion"/>
  </si>
  <si>
    <t>FINANCE_CODE</t>
  </si>
  <si>
    <t>FINANCE_NAME</t>
  </si>
  <si>
    <t>LEVEL</t>
  </si>
  <si>
    <t>PREV_MONTH_DEDUCT_TYPE</t>
  </si>
  <si>
    <t>Y</t>
    <phoneticPr fontId="2" type="noConversion"/>
  </si>
  <si>
    <t>char</t>
    <phoneticPr fontId="2" type="noConversion"/>
  </si>
  <si>
    <t>varchar</t>
    <phoneticPr fontId="2" type="noConversion"/>
  </si>
  <si>
    <t>char</t>
    <phoneticPr fontId="2" type="noConversion"/>
  </si>
  <si>
    <t>char</t>
    <phoneticPr fontId="2" type="noConversion"/>
  </si>
  <si>
    <t>N</t>
  </si>
  <si>
    <t>재무코드</t>
  </si>
  <si>
    <t>재무코드명</t>
  </si>
  <si>
    <t>레벨</t>
  </si>
  <si>
    <t>전월차감여부</t>
  </si>
  <si>
    <t>Y:Yes, N:No, S:기초 , E:기말</t>
  </si>
  <si>
    <t>Y:Yes, N:No, S:기초 , E:기말</t>
    <phoneticPr fontId="2" type="noConversion"/>
  </si>
  <si>
    <t>전송 처리 코드(N: 데이터 발생시, P: 처리중, S: 성공, E: 오류)</t>
  </si>
  <si>
    <t>EAI 트랜잭션 단위의 Unique ID</t>
  </si>
  <si>
    <t>전송 처리 일시 - 업무 DB 시간</t>
  </si>
  <si>
    <t>SELECT CO_GNMN_ACCT_CODE_INFO.FINANCE_CODE
 , CO_GNMN_ACCT_CODE_INFO.FINANCE_NAME
 , CO_GNMN_ACCT_CODE_INFO.LEVEL
 , CO_GNMN_ACCT_CODE_INFO.PREV_MONTH_DEDUCT_TYPE 
FROM CO_GNMN_ACCT_CODE_INFO</t>
    <phoneticPr fontId="2" type="noConversion"/>
  </si>
  <si>
    <t>NVARCHAR</t>
    <phoneticPr fontId="2" type="noConversion"/>
  </si>
  <si>
    <t>NVARCHAR</t>
    <phoneticPr fontId="2" type="noConversion"/>
  </si>
  <si>
    <t>before</t>
    <phoneticPr fontId="2" type="noConversion"/>
  </si>
  <si>
    <t>DATETIME</t>
    <phoneticPr fontId="2" type="noConversion"/>
  </si>
  <si>
    <t>IF_SRD_DPS_EBIZ_0001</t>
    <phoneticPr fontId="2" type="noConversion"/>
  </si>
  <si>
    <t>CO_GNMN_ACCT_CODE_INFO</t>
    <phoneticPr fontId="2" type="noConversion"/>
  </si>
  <si>
    <t>Y</t>
    <phoneticPr fontId="2" type="noConversion"/>
  </si>
  <si>
    <t>재무코드 정보</t>
  </si>
  <si>
    <t>Online / 수시 (호출빈도 : 일 1회 / 데이터 건수 : 약 4,275건)</t>
    <phoneticPr fontId="2" type="noConversion"/>
  </si>
  <si>
    <t>SQL Query
(제공 쿼리)</t>
    <phoneticPr fontId="2" type="noConversion"/>
  </si>
  <si>
    <t>SELECT
	FINANCE_CODE
	,FINANCE_NAME
	,LEVEL
	,PREV_MONTH_DEDUCT_TYPE
FROM CO_GNMN_ACCT_CODE_INFO WITH (NOLOCK)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</si>
  <si>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</si>
  <si>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</si>
  <si>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</si>
  <si>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</si>
  <si>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</si>
  <si>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</si>
  <si>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</si>
  <si>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</si>
  <si>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</si>
  <si>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</si>
  <si>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</si>
  <si>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</si>
  <si>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</si>
  <si>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</si>
  <si>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</si>
  <si>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</si>
  <si>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</si>
  <si>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</si>
  <si>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</si>
  <si>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</si>
  <si>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2022.08.31</t>
    <phoneticPr fontId="2" type="noConversion"/>
  </si>
  <si>
    <t>구다환</t>
    <phoneticPr fontId="2" type="noConversion"/>
  </si>
  <si>
    <t>DPS 프로시져 추가</t>
    <phoneticPr fontId="2" type="noConversion"/>
  </si>
  <si>
    <t>R3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</si>
</sst>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49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1" xfId="0" applyFont="1" applyBorder="1">
      <alignment vertical="center"/>
    </xf>
    <xf numFmtId="0" fontId="9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9" fillId="0" borderId="1" xfId="0" applyFont="1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left" vertical="center" wrapText="1"/>
    </xf>
    <xf numFmtId="0" fontId="9" fillId="2" borderId="1" xfId="0" quotePrefix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/>
    <xf numFmtId="0" fontId="14" fillId="0" borderId="1" xfId="0" applyFont="1" applyBorder="1" applyAlignment="1">
      <alignment horizontal="left" vertical="center"/>
    </xf>
    <xf numFmtId="0" fontId="25" fillId="8" borderId="1" xfId="6" applyFont="1" applyFill="1" applyBorder="1" applyAlignment="1">
      <alignment vertical="center"/>
    </xf>
    <xf numFmtId="0" fontId="26" fillId="0" borderId="1" xfId="6" applyFont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12" fillId="5" borderId="16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0" fontId="12" fillId="5" borderId="16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9" fillId="0" borderId="30" xfId="0" applyFont="1" applyBorder="1" applyAlignment="1">
      <alignment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2" borderId="30" xfId="0" quotePrefix="1" applyFont="1" applyFill="1" applyBorder="1" applyAlignment="1">
      <alignment horizontal="left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vertical="center" wrapText="1"/>
    </xf>
    <xf numFmtId="3" fontId="9" fillId="2" borderId="30" xfId="0" quotePrefix="1" applyNumberFormat="1" applyFont="1" applyFill="1" applyBorder="1" applyAlignment="1">
      <alignment horizontal="left" vertical="center" wrapText="1"/>
    </xf>
    <xf numFmtId="0" fontId="9" fillId="2" borderId="30" xfId="0" quotePrefix="1" applyFont="1" applyFill="1" applyBorder="1" applyAlignment="1">
      <alignment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vertical="center" wrapText="1"/>
    </xf>
    <xf numFmtId="0" fontId="9" fillId="0" borderId="30" xfId="0" applyFont="1" applyBorder="1" applyAlignment="1">
      <alignment horizontal="left" vertical="center" wrapText="1"/>
    </xf>
    <xf numFmtId="0" fontId="0" fillId="0" borderId="30" xfId="0" applyBorder="1" applyAlignment="1"/>
    <xf numFmtId="0" fontId="24" fillId="2" borderId="30" xfId="0" quotePrefix="1" applyFont="1" applyFill="1" applyBorder="1" applyAlignment="1">
      <alignment horizontal="left" vertical="center" wrapText="1"/>
    </xf>
    <xf numFmtId="0" fontId="9" fillId="0" borderId="30" xfId="0" quotePrefix="1" applyFont="1" applyBorder="1" applyAlignment="1">
      <alignment horizontal="left" vertical="center"/>
    </xf>
    <xf numFmtId="0" fontId="9" fillId="0" borderId="32" xfId="0" applyFont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26" fillId="0" borderId="1" xfId="6" applyFont="1" applyBorder="1" applyAlignment="1">
      <alignment horizontal="right" vertical="center"/>
    </xf>
    <xf numFmtId="0" fontId="7" fillId="6" borderId="34" xfId="0" applyFont="1" applyFill="1" applyBorder="1" applyAlignment="1">
      <alignment horizontal="center" vertical="center" wrapText="1"/>
    </xf>
    <xf numFmtId="0" fontId="10" fillId="2" borderId="34" xfId="1" applyFont="1" applyFill="1" applyBorder="1" applyAlignment="1">
      <alignment horizontal="center" vertical="center" wrapText="1"/>
    </xf>
    <xf numFmtId="0" fontId="21" fillId="5" borderId="35" xfId="1" applyFont="1" applyFill="1" applyBorder="1" applyAlignment="1">
      <alignment horizontal="center" vertical="center" wrapText="1"/>
    </xf>
    <xf numFmtId="0" fontId="12" fillId="6" borderId="35" xfId="1" applyFont="1" applyFill="1" applyBorder="1" applyAlignment="1">
      <alignment horizontal="left" vertical="center" wrapText="1"/>
    </xf>
    <xf numFmtId="0" fontId="10" fillId="6" borderId="35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12" fillId="5" borderId="35" xfId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25" fillId="0" borderId="1" xfId="6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29" fillId="0" borderId="1" xfId="0" applyFont="1" applyBorder="1">
      <alignment vertical="center"/>
    </xf>
    <xf numFmtId="0" fontId="9" fillId="2" borderId="1" xfId="0" applyFont="1" applyFill="1" applyBorder="1" applyAlignment="1">
      <alignment vertical="center" wrapText="1"/>
    </xf>
    <xf numFmtId="0" fontId="15" fillId="3" borderId="0" xfId="5" applyFont="1" applyFill="1">
      <alignment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14" fontId="14" fillId="2" borderId="11" xfId="5" applyNumberFormat="1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5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2" fillId="9" borderId="1" xfId="1" applyFont="1" applyFill="1" applyBorder="1" applyAlignment="1">
      <alignment horizontal="left" vertical="top" wrapText="1"/>
    </xf>
    <xf numFmtId="0" fontId="12" fillId="6" borderId="1" xfId="1" applyFont="1" applyFill="1" applyBorder="1" applyAlignment="1">
      <alignment horizontal="left" vertical="top" wrapText="1"/>
    </xf>
    <xf numFmtId="0" fontId="12" fillId="5" borderId="33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6" xfId="1" applyFont="1" applyFill="1" applyBorder="1" applyAlignment="1">
      <alignment horizontal="center" vertical="center" wrapText="1"/>
    </xf>
    <xf numFmtId="0" fontId="12" fillId="6" borderId="16" xfId="1" applyFont="1" applyFill="1" applyBorder="1" applyAlignment="1">
      <alignment horizontal="left" vertical="center" wrapText="1"/>
    </xf>
    <xf numFmtId="0" fontId="10" fillId="6" borderId="16" xfId="1" applyFont="1" applyFill="1" applyBorder="1" applyAlignment="1">
      <alignment horizontal="center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23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21" fillId="5" borderId="16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0" fillId="5" borderId="16" xfId="1" applyFont="1" applyFill="1" applyBorder="1" applyAlignment="1">
      <alignment horizontal="center" vertical="center" wrapText="1"/>
    </xf>
    <xf numFmtId="0" fontId="13" fillId="5" borderId="16" xfId="1" applyFont="1" applyFill="1" applyBorder="1" applyAlignment="1">
      <alignment horizontal="center" vertical="center" wrapText="1"/>
    </xf>
    <xf numFmtId="0" fontId="13" fillId="5" borderId="34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5" borderId="16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left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14" fontId="11" fillId="6" borderId="16" xfId="0" applyNumberFormat="1" applyFont="1" applyFill="1" applyBorder="1" applyAlignment="1">
      <alignment horizontal="left" vertical="center" wrapText="1"/>
    </xf>
    <xf numFmtId="0" fontId="21" fillId="5" borderId="20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6" borderId="22" xfId="1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2" fillId="2" borderId="16" xfId="1" applyFont="1" applyFill="1" applyBorder="1" applyAlignment="1">
      <alignment horizontal="left" vertical="center" wrapText="1"/>
    </xf>
    <xf numFmtId="0" fontId="10" fillId="2" borderId="16" xfId="1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left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28" fillId="6" borderId="16" xfId="7" applyFont="1" applyFill="1" applyBorder="1" applyAlignment="1">
      <alignment horizontal="left" vertical="center" wrapText="1"/>
    </xf>
    <xf numFmtId="0" fontId="11" fillId="6" borderId="16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5" xfId="1" applyFont="1" applyFill="1" applyBorder="1" applyAlignment="1">
      <alignment horizontal="left" vertical="center" wrapText="1"/>
    </xf>
    <xf numFmtId="0" fontId="8" fillId="6" borderId="31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5" borderId="19" xfId="0" applyFont="1" applyFill="1" applyBorder="1" applyAlignment="1">
      <alignment horizontal="center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zoomScale="85" zoomScaleNormal="85" workbookViewId="0">
      <selection activeCell="K18" sqref="K18"/>
    </sheetView>
  </sheetViews>
  <sheetFormatPr defaultColWidth="9" defaultRowHeight="16.5" x14ac:dyDescent="0.3"/>
  <cols>
    <col min="1" max="16384" width="9" style="10"/>
  </cols>
  <sheetData>
    <row r="1" spans="1:24" ht="26.25" x14ac:dyDescent="0.3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ht="17.25" x14ac:dyDescent="0.3">
      <c r="A3" s="11"/>
      <c r="B3" s="12" t="s">
        <v>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18" thickBot="1" x14ac:dyDescent="0.35">
      <c r="A4" s="11"/>
      <c r="B4" s="13" t="s">
        <v>2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 t="s">
        <v>3</v>
      </c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x14ac:dyDescent="0.3">
      <c r="A5" s="11"/>
      <c r="B5" s="75" t="s">
        <v>4</v>
      </c>
      <c r="C5" s="76"/>
      <c r="D5" s="77" t="s">
        <v>5</v>
      </c>
      <c r="E5" s="76"/>
      <c r="F5" s="77" t="s">
        <v>1</v>
      </c>
      <c r="G5" s="78"/>
      <c r="H5" s="78"/>
      <c r="I5" s="78"/>
      <c r="J5" s="76"/>
      <c r="K5" s="77" t="s">
        <v>6</v>
      </c>
      <c r="L5" s="79"/>
      <c r="M5" s="11"/>
      <c r="N5" s="75" t="s">
        <v>4</v>
      </c>
      <c r="O5" s="76"/>
      <c r="P5" s="77" t="s">
        <v>5</v>
      </c>
      <c r="Q5" s="76"/>
      <c r="R5" s="77" t="s">
        <v>1</v>
      </c>
      <c r="S5" s="78"/>
      <c r="T5" s="78"/>
      <c r="U5" s="78"/>
      <c r="V5" s="76"/>
      <c r="W5" s="77" t="s">
        <v>6</v>
      </c>
      <c r="X5" s="79"/>
    </row>
    <row r="6" spans="1:24" x14ac:dyDescent="0.3">
      <c r="A6" s="11"/>
      <c r="B6" s="80">
        <v>44796</v>
      </c>
      <c r="C6" s="81"/>
      <c r="D6" s="82" t="s">
        <v>199</v>
      </c>
      <c r="E6" s="81"/>
      <c r="F6" s="83" t="s">
        <v>7</v>
      </c>
      <c r="G6" s="84"/>
      <c r="H6" s="84"/>
      <c r="I6" s="84"/>
      <c r="J6" s="85"/>
      <c r="K6" s="82">
        <v>0.1</v>
      </c>
      <c r="L6" s="86"/>
      <c r="M6" s="11"/>
      <c r="N6" s="80">
        <v>44796</v>
      </c>
      <c r="O6" s="81"/>
      <c r="P6" s="82" t="s">
        <v>200</v>
      </c>
      <c r="Q6" s="81"/>
      <c r="R6" s="83" t="s">
        <v>7</v>
      </c>
      <c r="S6" s="84"/>
      <c r="T6" s="84"/>
      <c r="U6" s="84"/>
      <c r="V6" s="85"/>
      <c r="W6" s="82">
        <v>0.1</v>
      </c>
      <c r="X6" s="86"/>
    </row>
    <row r="7" spans="1:24" x14ac:dyDescent="0.3">
      <c r="A7" s="11"/>
      <c r="B7" s="87" t="s">
        <v>255</v>
      </c>
      <c r="C7" s="81"/>
      <c r="D7" s="82" t="s">
        <v>256</v>
      </c>
      <c r="E7" s="81"/>
      <c r="F7" s="83" t="s">
        <v>257</v>
      </c>
      <c r="G7" s="84"/>
      <c r="H7" s="84"/>
      <c r="I7" s="84"/>
      <c r="J7" s="85"/>
      <c r="K7" s="82">
        <v>0.2</v>
      </c>
      <c r="L7" s="86"/>
      <c r="M7" s="11"/>
      <c r="N7" s="87"/>
      <c r="O7" s="81"/>
      <c r="P7" s="82"/>
      <c r="Q7" s="81"/>
      <c r="R7" s="88"/>
      <c r="S7" s="84"/>
      <c r="T7" s="84"/>
      <c r="U7" s="84"/>
      <c r="V7" s="85"/>
      <c r="W7" s="82"/>
      <c r="X7" s="86"/>
    </row>
    <row r="8" spans="1:24" x14ac:dyDescent="0.3">
      <c r="A8" s="11"/>
      <c r="B8" s="87"/>
      <c r="C8" s="81"/>
      <c r="D8" s="82"/>
      <c r="E8" s="81"/>
      <c r="F8" s="88"/>
      <c r="G8" s="84"/>
      <c r="H8" s="84"/>
      <c r="I8" s="84"/>
      <c r="J8" s="85"/>
      <c r="K8" s="89"/>
      <c r="L8" s="90"/>
      <c r="M8" s="11"/>
      <c r="N8" s="87"/>
      <c r="O8" s="81"/>
      <c r="P8" s="82"/>
      <c r="Q8" s="81"/>
      <c r="R8" s="88"/>
      <c r="S8" s="84"/>
      <c r="T8" s="84"/>
      <c r="U8" s="84"/>
      <c r="V8" s="85"/>
      <c r="W8" s="89"/>
      <c r="X8" s="90"/>
    </row>
    <row r="9" spans="1:24" x14ac:dyDescent="0.3">
      <c r="A9" s="11"/>
      <c r="B9" s="87"/>
      <c r="C9" s="81"/>
      <c r="D9" s="82"/>
      <c r="E9" s="81"/>
      <c r="F9" s="88"/>
      <c r="G9" s="84"/>
      <c r="H9" s="84"/>
      <c r="I9" s="84"/>
      <c r="J9" s="85"/>
      <c r="K9" s="89"/>
      <c r="L9" s="90"/>
      <c r="M9" s="11"/>
      <c r="N9" s="87"/>
      <c r="O9" s="81"/>
      <c r="P9" s="82"/>
      <c r="Q9" s="81"/>
      <c r="R9" s="88"/>
      <c r="S9" s="84"/>
      <c r="T9" s="84"/>
      <c r="U9" s="84"/>
      <c r="V9" s="85"/>
      <c r="W9" s="89"/>
      <c r="X9" s="90"/>
    </row>
  </sheetData>
  <mergeCells count="41"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8" t="s">
        <v>8</v>
      </c>
      <c r="C2" s="18" t="s">
        <v>9</v>
      </c>
      <c r="E2" s="18" t="s">
        <v>10</v>
      </c>
      <c r="G2" s="18" t="s">
        <v>11</v>
      </c>
      <c r="I2" s="18" t="s">
        <v>12</v>
      </c>
      <c r="K2" s="18" t="s">
        <v>13</v>
      </c>
      <c r="M2" s="18" t="s">
        <v>14</v>
      </c>
    </row>
    <row r="3" spans="2:13" x14ac:dyDescent="0.3">
      <c r="B3" s="19" t="s">
        <v>15</v>
      </c>
      <c r="C3" s="19" t="s">
        <v>16</v>
      </c>
      <c r="E3" s="20" t="s">
        <v>17</v>
      </c>
      <c r="G3" s="20" t="s">
        <v>18</v>
      </c>
      <c r="I3" s="19" t="s">
        <v>19</v>
      </c>
      <c r="K3" s="20" t="s">
        <v>20</v>
      </c>
      <c r="M3" s="20" t="s">
        <v>21</v>
      </c>
    </row>
    <row r="4" spans="2:13" x14ac:dyDescent="0.3">
      <c r="B4" s="19" t="s">
        <v>22</v>
      </c>
      <c r="C4" s="19" t="s">
        <v>23</v>
      </c>
      <c r="E4" s="20" t="s">
        <v>24</v>
      </c>
      <c r="G4" s="20" t="s">
        <v>25</v>
      </c>
      <c r="I4" s="20" t="s">
        <v>26</v>
      </c>
      <c r="K4" s="20" t="s">
        <v>27</v>
      </c>
      <c r="M4" s="20" t="s">
        <v>28</v>
      </c>
    </row>
    <row r="5" spans="2:13" x14ac:dyDescent="0.3">
      <c r="B5" s="19" t="s">
        <v>29</v>
      </c>
      <c r="C5" s="19" t="s">
        <v>30</v>
      </c>
      <c r="E5" s="20" t="s">
        <v>31</v>
      </c>
      <c r="I5" s="20" t="s">
        <v>32</v>
      </c>
      <c r="K5" s="20" t="s">
        <v>33</v>
      </c>
    </row>
    <row r="6" spans="2:13" x14ac:dyDescent="0.3">
      <c r="B6" s="19" t="s">
        <v>34</v>
      </c>
      <c r="C6" s="19" t="s">
        <v>35</v>
      </c>
      <c r="E6" s="20" t="s">
        <v>36</v>
      </c>
      <c r="I6" s="20" t="s">
        <v>37</v>
      </c>
    </row>
    <row r="7" spans="2:13" x14ac:dyDescent="0.3">
      <c r="B7" s="19" t="s">
        <v>38</v>
      </c>
      <c r="C7" s="19" t="s">
        <v>39</v>
      </c>
      <c r="I7" s="20" t="s">
        <v>40</v>
      </c>
    </row>
    <row r="8" spans="2:13" x14ac:dyDescent="0.3">
      <c r="B8" s="19" t="s">
        <v>41</v>
      </c>
      <c r="C8" s="19" t="s">
        <v>42</v>
      </c>
      <c r="I8" s="20" t="s">
        <v>43</v>
      </c>
    </row>
    <row r="9" spans="2:13" x14ac:dyDescent="0.3">
      <c r="B9" s="19" t="s">
        <v>44</v>
      </c>
      <c r="C9" s="19" t="s">
        <v>45</v>
      </c>
      <c r="I9" s="20" t="s">
        <v>46</v>
      </c>
    </row>
    <row r="10" spans="2:13" x14ac:dyDescent="0.3">
      <c r="B10" s="19" t="s">
        <v>47</v>
      </c>
      <c r="C10" s="19" t="s">
        <v>48</v>
      </c>
      <c r="I10" s="20" t="s">
        <v>49</v>
      </c>
    </row>
    <row r="11" spans="2:13" x14ac:dyDescent="0.3">
      <c r="B11" s="19" t="s">
        <v>50</v>
      </c>
      <c r="C11" s="19" t="s">
        <v>51</v>
      </c>
    </row>
    <row r="12" spans="2:13" x14ac:dyDescent="0.3">
      <c r="B12" s="19" t="s">
        <v>52</v>
      </c>
      <c r="C12" s="19" t="s">
        <v>53</v>
      </c>
    </row>
    <row r="13" spans="2:13" x14ac:dyDescent="0.3">
      <c r="B13" s="19" t="s">
        <v>54</v>
      </c>
      <c r="C13" s="19" t="s">
        <v>55</v>
      </c>
    </row>
    <row r="14" spans="2:13" x14ac:dyDescent="0.3">
      <c r="B14" s="19" t="s">
        <v>56</v>
      </c>
      <c r="C14" s="19" t="s">
        <v>57</v>
      </c>
    </row>
    <row r="15" spans="2:13" x14ac:dyDescent="0.3">
      <c r="B15" s="19" t="s">
        <v>58</v>
      </c>
      <c r="C15" s="19" t="s">
        <v>59</v>
      </c>
    </row>
    <row r="16" spans="2:13" x14ac:dyDescent="0.3">
      <c r="B16" s="19" t="s">
        <v>60</v>
      </c>
      <c r="C16" s="19" t="s">
        <v>61</v>
      </c>
    </row>
    <row r="17" spans="2:3" x14ac:dyDescent="0.3">
      <c r="B17" s="19" t="s">
        <v>62</v>
      </c>
      <c r="C17" s="19" t="s">
        <v>63</v>
      </c>
    </row>
    <row r="18" spans="2:3" x14ac:dyDescent="0.3">
      <c r="B18" s="19" t="s">
        <v>64</v>
      </c>
      <c r="C18" s="19" t="s">
        <v>65</v>
      </c>
    </row>
    <row r="19" spans="2:3" x14ac:dyDescent="0.3">
      <c r="B19" s="19" t="s">
        <v>66</v>
      </c>
      <c r="C19" s="19" t="s">
        <v>67</v>
      </c>
    </row>
    <row r="20" spans="2:3" x14ac:dyDescent="0.3">
      <c r="B20" s="19" t="s">
        <v>68</v>
      </c>
      <c r="C20" s="19" t="s">
        <v>69</v>
      </c>
    </row>
    <row r="21" spans="2:3" x14ac:dyDescent="0.3">
      <c r="B21" s="19" t="s">
        <v>70</v>
      </c>
      <c r="C21" s="19" t="s">
        <v>71</v>
      </c>
    </row>
    <row r="22" spans="2:3" x14ac:dyDescent="0.3">
      <c r="B22" s="19" t="s">
        <v>72</v>
      </c>
      <c r="C22" s="19" t="s">
        <v>73</v>
      </c>
    </row>
    <row r="23" spans="2:3" x14ac:dyDescent="0.3">
      <c r="B23" s="19" t="s">
        <v>74</v>
      </c>
      <c r="C23" s="22" t="s">
        <v>75</v>
      </c>
    </row>
    <row r="24" spans="2:3" x14ac:dyDescent="0.3">
      <c r="B24" s="19" t="s">
        <v>76</v>
      </c>
      <c r="C24" s="19" t="s">
        <v>77</v>
      </c>
    </row>
    <row r="25" spans="2:3" x14ac:dyDescent="0.3">
      <c r="B25" s="19" t="s">
        <v>78</v>
      </c>
      <c r="C25" s="19" t="s">
        <v>61</v>
      </c>
    </row>
    <row r="26" spans="2:3" x14ac:dyDescent="0.3">
      <c r="B26" s="19" t="s">
        <v>79</v>
      </c>
      <c r="C26" s="19" t="s">
        <v>80</v>
      </c>
    </row>
    <row r="27" spans="2:3" x14ac:dyDescent="0.3">
      <c r="B27" s="19" t="s">
        <v>81</v>
      </c>
      <c r="C27" s="19" t="s">
        <v>82</v>
      </c>
    </row>
    <row r="28" spans="2:3" x14ac:dyDescent="0.3">
      <c r="B28" s="19" t="s">
        <v>83</v>
      </c>
      <c r="C28" s="19" t="s">
        <v>84</v>
      </c>
    </row>
    <row r="29" spans="2:3" x14ac:dyDescent="0.3">
      <c r="B29" s="19" t="s">
        <v>85</v>
      </c>
      <c r="C29" s="19" t="s">
        <v>86</v>
      </c>
    </row>
    <row r="30" spans="2:3" x14ac:dyDescent="0.3">
      <c r="B30" s="19" t="s">
        <v>87</v>
      </c>
      <c r="C30" s="19" t="s">
        <v>88</v>
      </c>
    </row>
    <row r="31" spans="2:3" x14ac:dyDescent="0.3">
      <c r="B31" s="19" t="s">
        <v>89</v>
      </c>
      <c r="C31" s="19" t="s">
        <v>90</v>
      </c>
    </row>
    <row r="32" spans="2:3" x14ac:dyDescent="0.3">
      <c r="B32" s="19" t="s">
        <v>91</v>
      </c>
      <c r="C32" s="19" t="s">
        <v>61</v>
      </c>
    </row>
    <row r="33" spans="2:3" x14ac:dyDescent="0.3">
      <c r="B33" s="19" t="s">
        <v>92</v>
      </c>
      <c r="C33" s="19" t="s">
        <v>93</v>
      </c>
    </row>
    <row r="34" spans="2:3" x14ac:dyDescent="0.3">
      <c r="B34" s="19" t="s">
        <v>94</v>
      </c>
      <c r="C34" s="19" t="s">
        <v>61</v>
      </c>
    </row>
    <row r="35" spans="2:3" x14ac:dyDescent="0.3">
      <c r="B35" s="19" t="s">
        <v>95</v>
      </c>
      <c r="C35" s="19" t="s">
        <v>96</v>
      </c>
    </row>
    <row r="36" spans="2:3" x14ac:dyDescent="0.3">
      <c r="B36" s="23" t="s">
        <v>97</v>
      </c>
      <c r="C36" s="19" t="s">
        <v>98</v>
      </c>
    </row>
    <row r="37" spans="2:3" x14ac:dyDescent="0.3">
      <c r="B37" s="19" t="s">
        <v>99</v>
      </c>
      <c r="C37" s="19" t="s">
        <v>61</v>
      </c>
    </row>
    <row r="38" spans="2:3" x14ac:dyDescent="0.3">
      <c r="B38" s="19" t="s">
        <v>100</v>
      </c>
      <c r="C38" s="19" t="s">
        <v>61</v>
      </c>
    </row>
    <row r="39" spans="2:3" x14ac:dyDescent="0.3">
      <c r="B39" s="19" t="s">
        <v>101</v>
      </c>
      <c r="C39" s="19" t="s">
        <v>102</v>
      </c>
    </row>
    <row r="40" spans="2:3" x14ac:dyDescent="0.3">
      <c r="B40" s="19" t="s">
        <v>103</v>
      </c>
      <c r="C40" s="19" t="s">
        <v>103</v>
      </c>
    </row>
    <row r="41" spans="2:3" x14ac:dyDescent="0.3">
      <c r="B41" s="23" t="s">
        <v>104</v>
      </c>
      <c r="C41" s="19" t="s">
        <v>61</v>
      </c>
    </row>
    <row r="42" spans="2:3" x14ac:dyDescent="0.3">
      <c r="B42" s="23" t="s">
        <v>105</v>
      </c>
      <c r="C42" s="19" t="s">
        <v>106</v>
      </c>
    </row>
    <row r="43" spans="2:3" x14ac:dyDescent="0.3">
      <c r="B43" s="19" t="s">
        <v>107</v>
      </c>
      <c r="C43" s="19" t="s">
        <v>108</v>
      </c>
    </row>
    <row r="44" spans="2:3" x14ac:dyDescent="0.3">
      <c r="B44" s="19" t="s">
        <v>109</v>
      </c>
      <c r="C44" s="19" t="s">
        <v>110</v>
      </c>
    </row>
    <row r="45" spans="2:3" x14ac:dyDescent="0.3">
      <c r="B45" s="19" t="s">
        <v>111</v>
      </c>
      <c r="C45" s="19" t="s">
        <v>61</v>
      </c>
    </row>
    <row r="46" spans="2:3" x14ac:dyDescent="0.3">
      <c r="B46" s="19" t="s">
        <v>112</v>
      </c>
      <c r="C46" s="19" t="s">
        <v>113</v>
      </c>
    </row>
    <row r="47" spans="2:3" x14ac:dyDescent="0.3">
      <c r="B47" s="19" t="s">
        <v>114</v>
      </c>
      <c r="C47" s="19" t="s">
        <v>115</v>
      </c>
    </row>
    <row r="48" spans="2:3" x14ac:dyDescent="0.3">
      <c r="B48" s="19" t="s">
        <v>116</v>
      </c>
      <c r="C48" s="19" t="s">
        <v>61</v>
      </c>
    </row>
    <row r="49" spans="2:3" x14ac:dyDescent="0.3">
      <c r="B49" s="23" t="s">
        <v>117</v>
      </c>
      <c r="C49" s="19" t="s">
        <v>118</v>
      </c>
    </row>
    <row r="50" spans="2:3" x14ac:dyDescent="0.3">
      <c r="B50" s="19" t="s">
        <v>119</v>
      </c>
      <c r="C50" s="19" t="s">
        <v>61</v>
      </c>
    </row>
    <row r="51" spans="2:3" x14ac:dyDescent="0.3">
      <c r="B51" s="19" t="s">
        <v>120</v>
      </c>
      <c r="C51" s="19" t="s">
        <v>121</v>
      </c>
    </row>
    <row r="52" spans="2:3" x14ac:dyDescent="0.3">
      <c r="B52" s="19" t="s">
        <v>122</v>
      </c>
      <c r="C52" s="19" t="s">
        <v>61</v>
      </c>
    </row>
    <row r="53" spans="2:3" x14ac:dyDescent="0.3">
      <c r="B53" s="19" t="s">
        <v>123</v>
      </c>
      <c r="C53" s="19" t="s">
        <v>124</v>
      </c>
    </row>
    <row r="54" spans="2:3" x14ac:dyDescent="0.3">
      <c r="B54" s="19" t="s">
        <v>125</v>
      </c>
      <c r="C54" s="19" t="s">
        <v>126</v>
      </c>
    </row>
    <row r="55" spans="2:3" x14ac:dyDescent="0.3">
      <c r="B55" s="19" t="s">
        <v>127</v>
      </c>
      <c r="C55" s="19" t="s">
        <v>61</v>
      </c>
    </row>
    <row r="56" spans="2:3" x14ac:dyDescent="0.3">
      <c r="B56" s="19" t="s">
        <v>128</v>
      </c>
      <c r="C56" s="19" t="s">
        <v>61</v>
      </c>
    </row>
    <row r="57" spans="2:3" x14ac:dyDescent="0.3">
      <c r="B57" s="19" t="s">
        <v>129</v>
      </c>
      <c r="C57" s="19" t="s">
        <v>130</v>
      </c>
    </row>
    <row r="58" spans="2:3" x14ac:dyDescent="0.3">
      <c r="B58" s="19" t="s">
        <v>131</v>
      </c>
      <c r="C58" s="19" t="s">
        <v>132</v>
      </c>
    </row>
    <row r="59" spans="2:3" x14ac:dyDescent="0.3">
      <c r="B59" s="19" t="s">
        <v>133</v>
      </c>
      <c r="C59" s="19" t="s">
        <v>75</v>
      </c>
    </row>
    <row r="60" spans="2:3" x14ac:dyDescent="0.3">
      <c r="B60" s="19" t="s">
        <v>134</v>
      </c>
      <c r="C60" s="19" t="s">
        <v>135</v>
      </c>
    </row>
    <row r="61" spans="2:3" x14ac:dyDescent="0.3">
      <c r="B61" s="19" t="s">
        <v>136</v>
      </c>
      <c r="C61" s="19" t="s">
        <v>137</v>
      </c>
    </row>
    <row r="62" spans="2:3" x14ac:dyDescent="0.3">
      <c r="B62" s="19" t="s">
        <v>138</v>
      </c>
      <c r="C62" s="19" t="s">
        <v>139</v>
      </c>
    </row>
    <row r="63" spans="2:3" x14ac:dyDescent="0.3">
      <c r="B63" s="19" t="s">
        <v>140</v>
      </c>
      <c r="C63" s="19" t="s">
        <v>141</v>
      </c>
    </row>
    <row r="64" spans="2:3" x14ac:dyDescent="0.3">
      <c r="B64" s="19" t="s">
        <v>142</v>
      </c>
      <c r="C64" s="19" t="s">
        <v>142</v>
      </c>
    </row>
    <row r="65" spans="2:3" x14ac:dyDescent="0.3">
      <c r="B65" s="19" t="s">
        <v>143</v>
      </c>
      <c r="C65" s="19" t="s">
        <v>144</v>
      </c>
    </row>
    <row r="66" spans="2:3" x14ac:dyDescent="0.3">
      <c r="B66" s="19" t="s">
        <v>145</v>
      </c>
      <c r="C66" s="19" t="s">
        <v>146</v>
      </c>
    </row>
    <row r="67" spans="2:3" x14ac:dyDescent="0.3">
      <c r="B67" s="19" t="s">
        <v>147</v>
      </c>
      <c r="C67" s="19" t="s">
        <v>61</v>
      </c>
    </row>
    <row r="68" spans="2:3" x14ac:dyDescent="0.3">
      <c r="B68" s="19" t="s">
        <v>148</v>
      </c>
      <c r="C68" s="19" t="s">
        <v>149</v>
      </c>
    </row>
    <row r="69" spans="2:3" x14ac:dyDescent="0.3">
      <c r="B69" s="19" t="s">
        <v>184</v>
      </c>
      <c r="C69" s="19" t="s">
        <v>185</v>
      </c>
    </row>
    <row r="70" spans="2:3" x14ac:dyDescent="0.3">
      <c r="B70" s="19"/>
      <c r="C70" s="19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A48"/>
  <sheetViews>
    <sheetView tabSelected="1" topLeftCell="A8" zoomScale="70" zoomScaleNormal="70" workbookViewId="0">
      <selection activeCell="G25" sqref="G25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.75" style="3" customWidth="1"/>
    <col min="4" max="4" width="4.375" style="3" bestFit="1" customWidth="1"/>
    <col min="5" max="5" width="32.125" style="3" bestFit="1" customWidth="1"/>
    <col min="6" max="6" width="4.25" style="3" bestFit="1" customWidth="1"/>
    <col min="7" max="7" width="15.5" style="3" bestFit="1" customWidth="1"/>
    <col min="8" max="8" width="5.5" style="3" bestFit="1" customWidth="1"/>
    <col min="9" max="9" width="9" style="3"/>
    <col min="10" max="10" width="50.5" style="3" bestFit="1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21.5" style="3" customWidth="1"/>
    <col min="17" max="17" width="4.375" style="3" customWidth="1"/>
    <col min="18" max="18" width="15.5" style="3" bestFit="1" customWidth="1"/>
    <col min="19" max="19" width="5" style="3" customWidth="1"/>
    <col min="20" max="20" width="9" style="3" customWidth="1"/>
    <col min="21" max="21" width="20.1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2:24" ht="44.25" customHeight="1" x14ac:dyDescent="0.3">
      <c r="C2" s="114" t="s">
        <v>150</v>
      </c>
      <c r="D2" s="115"/>
      <c r="E2" s="115"/>
      <c r="F2" s="115"/>
      <c r="G2" s="115"/>
      <c r="H2" s="115"/>
      <c r="I2" s="115"/>
      <c r="J2" s="115"/>
      <c r="K2" s="115"/>
      <c r="L2" s="115"/>
      <c r="M2" s="116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</row>
    <row r="3" spans="2:24" ht="16.5" customHeight="1" x14ac:dyDescent="0.3">
      <c r="C3" s="34" t="s">
        <v>151</v>
      </c>
      <c r="D3" s="117" t="s">
        <v>228</v>
      </c>
      <c r="E3" s="118"/>
      <c r="F3" s="118"/>
      <c r="G3" s="118"/>
      <c r="H3" s="119"/>
      <c r="I3" s="120" t="s">
        <v>152</v>
      </c>
      <c r="J3" s="120"/>
      <c r="K3" s="121" t="s">
        <v>201</v>
      </c>
      <c r="L3" s="122"/>
      <c r="M3" s="59"/>
      <c r="N3" s="35" t="s">
        <v>153</v>
      </c>
      <c r="O3" s="123" t="s">
        <v>231</v>
      </c>
      <c r="P3" s="124"/>
      <c r="Q3" s="124"/>
      <c r="R3" s="124"/>
      <c r="S3" s="124"/>
      <c r="T3" s="124"/>
      <c r="U3" s="125"/>
      <c r="V3" s="35" t="s">
        <v>154</v>
      </c>
      <c r="W3" s="126">
        <v>44796</v>
      </c>
      <c r="X3" s="122"/>
    </row>
    <row r="4" spans="2:24" ht="16.5" customHeight="1" x14ac:dyDescent="0.3">
      <c r="B4" s="3" t="s">
        <v>198</v>
      </c>
      <c r="C4" s="34" t="s">
        <v>155</v>
      </c>
      <c r="D4" s="117" t="s">
        <v>156</v>
      </c>
      <c r="E4" s="118"/>
      <c r="F4" s="118"/>
      <c r="G4" s="118"/>
      <c r="H4" s="119"/>
      <c r="I4" s="141" t="s">
        <v>13</v>
      </c>
      <c r="J4" s="142"/>
      <c r="K4" s="121" t="s">
        <v>157</v>
      </c>
      <c r="L4" s="122"/>
      <c r="M4" s="59"/>
      <c r="N4" s="35" t="s">
        <v>158</v>
      </c>
      <c r="O4" s="123" t="s">
        <v>232</v>
      </c>
      <c r="P4" s="124"/>
      <c r="Q4" s="124"/>
      <c r="R4" s="124"/>
      <c r="S4" s="124"/>
      <c r="T4" s="124"/>
      <c r="U4" s="125"/>
      <c r="V4" s="35" t="s">
        <v>159</v>
      </c>
      <c r="W4" s="133"/>
      <c r="X4" s="134"/>
    </row>
    <row r="5" spans="2:24" ht="16.5" customHeight="1" x14ac:dyDescent="0.3">
      <c r="C5" s="36" t="s">
        <v>160</v>
      </c>
      <c r="D5" s="143"/>
      <c r="E5" s="144"/>
      <c r="F5" s="144"/>
      <c r="G5" s="144"/>
      <c r="H5" s="145"/>
      <c r="I5" s="95" t="s">
        <v>161</v>
      </c>
      <c r="J5" s="95"/>
      <c r="K5" s="131"/>
      <c r="L5" s="132"/>
      <c r="M5" s="60"/>
      <c r="N5" s="36" t="s">
        <v>162</v>
      </c>
      <c r="O5" s="146"/>
      <c r="P5" s="147"/>
      <c r="Q5" s="147"/>
      <c r="R5" s="147"/>
      <c r="S5" s="147"/>
      <c r="T5" s="147"/>
      <c r="U5" s="148"/>
      <c r="V5" s="36" t="s">
        <v>163</v>
      </c>
      <c r="W5" s="131"/>
      <c r="X5" s="132"/>
    </row>
    <row r="7" spans="2:24" ht="45.75" customHeight="1" x14ac:dyDescent="0.3">
      <c r="C7" s="15" t="s">
        <v>164</v>
      </c>
      <c r="D7" s="137" t="s">
        <v>189</v>
      </c>
      <c r="E7" s="138"/>
      <c r="F7" s="138"/>
      <c r="G7" s="138"/>
      <c r="H7" s="138"/>
      <c r="I7" s="138"/>
      <c r="J7" s="138"/>
      <c r="K7" s="138"/>
      <c r="L7" s="138"/>
      <c r="M7" s="139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40"/>
    </row>
    <row r="8" spans="2:24" ht="27" customHeight="1" x14ac:dyDescent="0.3">
      <c r="C8" s="15" t="s">
        <v>165</v>
      </c>
      <c r="D8" s="137" t="s">
        <v>187</v>
      </c>
      <c r="E8" s="138"/>
      <c r="F8" s="138"/>
      <c r="G8" s="138"/>
      <c r="H8" s="138"/>
      <c r="I8" s="138"/>
      <c r="J8" s="138"/>
      <c r="K8" s="138"/>
      <c r="L8" s="138"/>
      <c r="M8" s="139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40"/>
    </row>
    <row r="10" spans="2:24" ht="38.25" customHeight="1" x14ac:dyDescent="0.3">
      <c r="C10" s="112" t="s">
        <v>166</v>
      </c>
      <c r="D10" s="112"/>
      <c r="E10" s="112"/>
      <c r="F10" s="112"/>
      <c r="G10" s="112"/>
      <c r="H10" s="112"/>
      <c r="I10" s="112"/>
      <c r="J10" s="112"/>
      <c r="K10" s="112"/>
      <c r="L10" s="113"/>
      <c r="M10" s="61"/>
      <c r="N10" s="127" t="s">
        <v>167</v>
      </c>
      <c r="O10" s="112"/>
      <c r="P10" s="112"/>
      <c r="Q10" s="112"/>
      <c r="R10" s="112"/>
      <c r="S10" s="112"/>
      <c r="T10" s="112"/>
      <c r="U10" s="112"/>
      <c r="V10" s="112"/>
      <c r="W10" s="112"/>
      <c r="X10" s="95" t="s">
        <v>168</v>
      </c>
    </row>
    <row r="11" spans="2:24" ht="16.5" customHeight="1" x14ac:dyDescent="0.3">
      <c r="C11" s="105" t="s">
        <v>8</v>
      </c>
      <c r="D11" s="110"/>
      <c r="E11" s="110"/>
      <c r="F11" s="111"/>
      <c r="G11" s="106" t="s">
        <v>169</v>
      </c>
      <c r="H11" s="107"/>
      <c r="I11" s="107"/>
      <c r="J11" s="107"/>
      <c r="K11" s="107"/>
      <c r="L11" s="108"/>
      <c r="M11" s="62"/>
      <c r="N11" s="109" t="s">
        <v>8</v>
      </c>
      <c r="O11" s="110"/>
      <c r="P11" s="110"/>
      <c r="Q11" s="111"/>
      <c r="R11" s="106" t="s">
        <v>202</v>
      </c>
      <c r="S11" s="107"/>
      <c r="T11" s="107"/>
      <c r="U11" s="107"/>
      <c r="V11" s="107"/>
      <c r="W11" s="108"/>
      <c r="X11" s="95"/>
    </row>
    <row r="12" spans="2:24" ht="16.5" customHeight="1" x14ac:dyDescent="0.3">
      <c r="C12" s="105" t="s">
        <v>170</v>
      </c>
      <c r="D12" s="110"/>
      <c r="E12" s="110"/>
      <c r="F12" s="111"/>
      <c r="G12" s="106" t="str">
        <f>VLOOKUP(G11,Code!$B$3:$C$69,2,0)</f>
        <v>DPS</v>
      </c>
      <c r="H12" s="107"/>
      <c r="I12" s="107"/>
      <c r="J12" s="107"/>
      <c r="K12" s="107"/>
      <c r="L12" s="129"/>
      <c r="M12" s="62"/>
      <c r="N12" s="109" t="s">
        <v>170</v>
      </c>
      <c r="O12" s="110"/>
      <c r="P12" s="110"/>
      <c r="Q12" s="111"/>
      <c r="R12" s="106" t="str">
        <f>VLOOKUP(R11,Code!$B$3:$C$69,2,0)</f>
        <v>EBIZ</v>
      </c>
      <c r="S12" s="107"/>
      <c r="T12" s="107"/>
      <c r="U12" s="107"/>
      <c r="V12" s="107"/>
      <c r="W12" s="129"/>
      <c r="X12" s="111"/>
    </row>
    <row r="13" spans="2:24" ht="16.5" customHeight="1" x14ac:dyDescent="0.3">
      <c r="C13" s="105" t="s">
        <v>171</v>
      </c>
      <c r="D13" s="110"/>
      <c r="E13" s="110"/>
      <c r="F13" s="111"/>
      <c r="G13" s="96"/>
      <c r="H13" s="97"/>
      <c r="I13" s="97"/>
      <c r="J13" s="97"/>
      <c r="K13" s="97"/>
      <c r="L13" s="98"/>
      <c r="M13" s="63"/>
      <c r="N13" s="109" t="s">
        <v>171</v>
      </c>
      <c r="O13" s="110"/>
      <c r="P13" s="110"/>
      <c r="Q13" s="111"/>
      <c r="R13" s="96"/>
      <c r="S13" s="97"/>
      <c r="T13" s="97"/>
      <c r="U13" s="97"/>
      <c r="V13" s="97"/>
      <c r="W13" s="98"/>
      <c r="X13" s="95"/>
    </row>
    <row r="14" spans="2:24" x14ac:dyDescent="0.3">
      <c r="C14" s="95" t="s">
        <v>172</v>
      </c>
      <c r="D14" s="95"/>
      <c r="E14" s="95"/>
      <c r="F14" s="95"/>
      <c r="G14" s="96" t="s">
        <v>229</v>
      </c>
      <c r="H14" s="97"/>
      <c r="I14" s="97"/>
      <c r="J14" s="97"/>
      <c r="K14" s="97"/>
      <c r="L14" s="97"/>
      <c r="M14" s="63"/>
      <c r="N14" s="109" t="s">
        <v>172</v>
      </c>
      <c r="O14" s="110"/>
      <c r="P14" s="110"/>
      <c r="Q14" s="111"/>
      <c r="R14" s="135" t="s">
        <v>203</v>
      </c>
      <c r="S14" s="136"/>
      <c r="T14" s="136"/>
      <c r="U14" s="136"/>
      <c r="V14" s="136"/>
      <c r="W14" s="136"/>
      <c r="X14" s="95"/>
    </row>
    <row r="15" spans="2:24" ht="16.5" customHeight="1" x14ac:dyDescent="0.3">
      <c r="C15" s="95" t="s">
        <v>10</v>
      </c>
      <c r="D15" s="95"/>
      <c r="E15" s="95"/>
      <c r="F15" s="95"/>
      <c r="G15" s="96" t="s">
        <v>31</v>
      </c>
      <c r="H15" s="97"/>
      <c r="I15" s="97"/>
      <c r="J15" s="97"/>
      <c r="K15" s="97"/>
      <c r="L15" s="98"/>
      <c r="M15" s="63"/>
      <c r="N15" s="99" t="s">
        <v>10</v>
      </c>
      <c r="O15" s="95"/>
      <c r="P15" s="95"/>
      <c r="Q15" s="95"/>
      <c r="R15" s="96" t="s">
        <v>186</v>
      </c>
      <c r="S15" s="97"/>
      <c r="T15" s="97"/>
      <c r="U15" s="97"/>
      <c r="V15" s="97"/>
      <c r="W15" s="98"/>
      <c r="X15" s="95"/>
    </row>
    <row r="16" spans="2:24" ht="16.5" customHeight="1" x14ac:dyDescent="0.3">
      <c r="C16" s="100" t="s">
        <v>173</v>
      </c>
      <c r="D16" s="101"/>
      <c r="E16" s="101"/>
      <c r="F16" s="101"/>
      <c r="G16" s="101"/>
      <c r="H16" s="101"/>
      <c r="I16" s="101"/>
      <c r="J16" s="101"/>
      <c r="K16" s="101"/>
      <c r="L16" s="102"/>
      <c r="M16" s="64"/>
      <c r="N16" s="103" t="s">
        <v>174</v>
      </c>
      <c r="O16" s="101"/>
      <c r="P16" s="101"/>
      <c r="Q16" s="101"/>
      <c r="R16" s="101"/>
      <c r="S16" s="101"/>
      <c r="T16" s="101"/>
      <c r="U16" s="101"/>
      <c r="V16" s="101"/>
      <c r="W16" s="104"/>
      <c r="X16" s="95"/>
    </row>
    <row r="17" spans="2:27" ht="16.5" customHeight="1" x14ac:dyDescent="0.3">
      <c r="C17" s="17" t="s">
        <v>172</v>
      </c>
      <c r="D17" s="17" t="s">
        <v>175</v>
      </c>
      <c r="E17" s="17" t="s">
        <v>176</v>
      </c>
      <c r="F17" s="17" t="s">
        <v>177</v>
      </c>
      <c r="G17" s="17" t="s">
        <v>178</v>
      </c>
      <c r="H17" s="17" t="s">
        <v>179</v>
      </c>
      <c r="I17" s="17" t="s">
        <v>180</v>
      </c>
      <c r="J17" s="17" t="s">
        <v>153</v>
      </c>
      <c r="K17" s="17" t="s">
        <v>181</v>
      </c>
      <c r="L17" s="37" t="s">
        <v>182</v>
      </c>
      <c r="M17" s="64"/>
      <c r="N17" s="38" t="s">
        <v>172</v>
      </c>
      <c r="O17" s="39" t="s">
        <v>175</v>
      </c>
      <c r="P17" s="39" t="s">
        <v>176</v>
      </c>
      <c r="Q17" s="39" t="s">
        <v>177</v>
      </c>
      <c r="R17" s="39" t="s">
        <v>178</v>
      </c>
      <c r="S17" s="39" t="s">
        <v>179</v>
      </c>
      <c r="T17" s="17" t="s">
        <v>180</v>
      </c>
      <c r="U17" s="39" t="s">
        <v>153</v>
      </c>
      <c r="V17" s="39" t="s">
        <v>181</v>
      </c>
      <c r="W17" s="39" t="s">
        <v>182</v>
      </c>
      <c r="X17" s="128"/>
    </row>
    <row r="18" spans="2:27" s="2" customFormat="1" ht="16.5" customHeight="1" x14ac:dyDescent="0.3">
      <c r="B18" s="2" t="s">
        <v>195</v>
      </c>
      <c r="C18" s="40" t="s">
        <v>31</v>
      </c>
      <c r="D18" s="41"/>
      <c r="E18" s="42"/>
      <c r="F18" s="43"/>
      <c r="G18" s="44"/>
      <c r="H18" s="44"/>
      <c r="I18" s="43"/>
      <c r="J18" s="45"/>
      <c r="K18" s="46"/>
      <c r="L18" s="47"/>
      <c r="M18" s="47"/>
      <c r="N18" s="26"/>
      <c r="O18" s="41"/>
      <c r="P18" s="42"/>
      <c r="Q18" s="43"/>
      <c r="R18" s="44"/>
      <c r="S18" s="44"/>
      <c r="T18" s="43"/>
      <c r="U18" s="45"/>
      <c r="V18" s="46"/>
      <c r="W18" s="48"/>
      <c r="X18" s="49"/>
    </row>
    <row r="19" spans="2:27" s="2" customFormat="1" ht="16.5" customHeight="1" x14ac:dyDescent="0.3">
      <c r="C19" s="50"/>
      <c r="D19" s="43"/>
      <c r="E19" s="51"/>
      <c r="F19" s="43"/>
      <c r="G19" s="44"/>
      <c r="H19" s="44"/>
      <c r="I19" s="43"/>
      <c r="J19" s="52"/>
      <c r="K19" s="46"/>
      <c r="L19" s="47"/>
      <c r="M19" s="47"/>
      <c r="N19" s="26"/>
      <c r="O19" s="43"/>
      <c r="P19" s="51"/>
      <c r="Q19" s="43"/>
      <c r="R19" s="44"/>
      <c r="S19" s="44"/>
      <c r="T19" s="43"/>
      <c r="U19" s="52"/>
      <c r="V19" s="46"/>
      <c r="W19" s="48"/>
      <c r="X19" s="49"/>
    </row>
    <row r="20" spans="2:27" s="2" customFormat="1" ht="16.5" customHeight="1" x14ac:dyDescent="0.3">
      <c r="C20" s="50"/>
      <c r="D20" s="41"/>
      <c r="E20" s="53"/>
      <c r="F20" s="43"/>
      <c r="G20" s="44"/>
      <c r="H20" s="43"/>
      <c r="I20" s="43"/>
      <c r="J20" s="52"/>
      <c r="K20" s="46"/>
      <c r="L20" s="47"/>
      <c r="M20" s="47"/>
      <c r="N20" s="26"/>
      <c r="O20" s="24"/>
      <c r="P20" s="44"/>
      <c r="Q20" s="48"/>
      <c r="R20" s="49"/>
      <c r="S20" s="44"/>
      <c r="T20" s="43"/>
      <c r="U20" s="44"/>
      <c r="V20" s="40"/>
      <c r="W20" s="48"/>
      <c r="X20" s="49"/>
    </row>
    <row r="21" spans="2:27" s="2" customFormat="1" ht="16.5" customHeight="1" x14ac:dyDescent="0.3">
      <c r="C21" s="50"/>
      <c r="D21" s="43"/>
      <c r="E21" s="30"/>
      <c r="F21" s="43"/>
      <c r="G21" s="44"/>
      <c r="H21" s="44"/>
      <c r="I21" s="43"/>
      <c r="J21" s="27"/>
      <c r="K21" s="46"/>
      <c r="L21" s="47"/>
      <c r="M21" s="47"/>
      <c r="N21" s="26"/>
      <c r="O21" s="24"/>
      <c r="P21" s="30"/>
      <c r="Q21" s="48"/>
      <c r="R21" s="49"/>
      <c r="S21" s="44"/>
      <c r="T21" s="43"/>
      <c r="U21" s="44"/>
      <c r="V21" s="40"/>
      <c r="W21" s="48"/>
      <c r="X21" s="49"/>
    </row>
    <row r="22" spans="2:27" ht="16.5" customHeight="1" x14ac:dyDescent="0.3">
      <c r="N22" s="16"/>
      <c r="X22" s="54"/>
    </row>
    <row r="23" spans="2:27" ht="16.5" customHeight="1" x14ac:dyDescent="0.3">
      <c r="C23" s="95" t="s">
        <v>174</v>
      </c>
      <c r="D23" s="95"/>
      <c r="E23" s="95"/>
      <c r="F23" s="95"/>
      <c r="G23" s="95"/>
      <c r="H23" s="95"/>
      <c r="I23" s="95"/>
      <c r="J23" s="95"/>
      <c r="K23" s="95"/>
      <c r="L23" s="105"/>
      <c r="M23" s="65"/>
      <c r="N23" s="99" t="s">
        <v>173</v>
      </c>
      <c r="O23" s="95"/>
      <c r="P23" s="95"/>
      <c r="Q23" s="95"/>
      <c r="R23" s="95"/>
      <c r="S23" s="95"/>
      <c r="T23" s="95"/>
      <c r="U23" s="95"/>
      <c r="V23" s="95"/>
      <c r="W23" s="105"/>
      <c r="X23" s="93" t="s">
        <v>168</v>
      </c>
    </row>
    <row r="24" spans="2:27" ht="16.5" customHeight="1" x14ac:dyDescent="0.3">
      <c r="C24" s="17" t="s">
        <v>172</v>
      </c>
      <c r="D24" s="17" t="s">
        <v>175</v>
      </c>
      <c r="E24" s="17" t="s">
        <v>176</v>
      </c>
      <c r="F24" s="17" t="s">
        <v>177</v>
      </c>
      <c r="G24" s="17" t="s">
        <v>178</v>
      </c>
      <c r="H24" s="17" t="s">
        <v>179</v>
      </c>
      <c r="I24" s="17" t="s">
        <v>180</v>
      </c>
      <c r="J24" s="17" t="s">
        <v>153</v>
      </c>
      <c r="K24" s="17" t="s">
        <v>181</v>
      </c>
      <c r="L24" s="37" t="s">
        <v>182</v>
      </c>
      <c r="M24" s="64"/>
      <c r="N24" s="38" t="s">
        <v>172</v>
      </c>
      <c r="O24" s="39" t="s">
        <v>175</v>
      </c>
      <c r="P24" s="39" t="s">
        <v>176</v>
      </c>
      <c r="Q24" s="39" t="s">
        <v>177</v>
      </c>
      <c r="R24" s="39" t="s">
        <v>178</v>
      </c>
      <c r="S24" s="39" t="s">
        <v>179</v>
      </c>
      <c r="T24" s="17" t="s">
        <v>180</v>
      </c>
      <c r="U24" s="39" t="s">
        <v>153</v>
      </c>
      <c r="V24" s="39" t="s">
        <v>181</v>
      </c>
      <c r="W24" s="39" t="s">
        <v>182</v>
      </c>
      <c r="X24" s="94"/>
      <c r="Z24" s="130" t="s">
        <v>226</v>
      </c>
      <c r="AA24" s="130"/>
    </row>
    <row r="25" spans="2:27" s="1" customFormat="1" ht="16.5" customHeight="1" x14ac:dyDescent="0.3">
      <c r="B25" s="1" t="s">
        <v>196</v>
      </c>
      <c r="C25" s="40" t="s">
        <v>203</v>
      </c>
      <c r="D25" s="48">
        <v>1</v>
      </c>
      <c r="E25" s="31" t="s">
        <v>204</v>
      </c>
      <c r="F25" s="48" t="s">
        <v>183</v>
      </c>
      <c r="G25" s="32" t="s">
        <v>224</v>
      </c>
      <c r="H25" s="58">
        <v>5</v>
      </c>
      <c r="I25" s="43" t="s">
        <v>213</v>
      </c>
      <c r="J25" s="44" t="s">
        <v>214</v>
      </c>
      <c r="K25" s="44"/>
      <c r="L25" s="25"/>
      <c r="M25" s="56" t="s">
        <v>258</v>
      </c>
      <c r="N25" s="26" t="s">
        <v>203</v>
      </c>
      <c r="O25" s="48">
        <v>1</v>
      </c>
      <c r="P25" s="31" t="s">
        <v>204</v>
      </c>
      <c r="Q25" s="48" t="s">
        <v>208</v>
      </c>
      <c r="R25" s="32" t="s">
        <v>209</v>
      </c>
      <c r="S25" s="58">
        <v>5</v>
      </c>
      <c r="T25" s="43" t="s">
        <v>213</v>
      </c>
      <c r="U25" s="44" t="s">
        <v>214</v>
      </c>
      <c r="V25" s="44"/>
      <c r="W25" s="48"/>
      <c r="X25" s="4"/>
      <c r="Z25" s="1" t="s">
        <v>178</v>
      </c>
      <c r="AA25" s="1" t="s">
        <v>179</v>
      </c>
    </row>
    <row r="26" spans="2:27" s="1" customFormat="1" ht="16.5" customHeight="1" x14ac:dyDescent="0.3">
      <c r="B26" s="1" t="s">
        <v>196</v>
      </c>
      <c r="C26" s="21"/>
      <c r="D26" s="48">
        <v>2</v>
      </c>
      <c r="E26" s="31" t="s">
        <v>205</v>
      </c>
      <c r="F26" s="48"/>
      <c r="G26" s="32" t="s">
        <v>224</v>
      </c>
      <c r="H26" s="58">
        <v>60</v>
      </c>
      <c r="I26" s="43" t="s">
        <v>213</v>
      </c>
      <c r="J26" s="44" t="s">
        <v>215</v>
      </c>
      <c r="K26" s="44"/>
      <c r="L26" s="25"/>
      <c r="M26" s="56" t="s">
        <v>258</v>
      </c>
      <c r="N26" s="26"/>
      <c r="O26" s="48">
        <v>2</v>
      </c>
      <c r="P26" s="31" t="s">
        <v>205</v>
      </c>
      <c r="Q26" s="48"/>
      <c r="R26" s="32" t="s">
        <v>210</v>
      </c>
      <c r="S26" s="58">
        <v>60</v>
      </c>
      <c r="T26" s="43" t="s">
        <v>213</v>
      </c>
      <c r="U26" s="44" t="s">
        <v>215</v>
      </c>
      <c r="V26" s="44"/>
      <c r="W26" s="48"/>
      <c r="X26" s="4"/>
      <c r="Z26" s="1" t="s">
        <v>193</v>
      </c>
      <c r="AA26" s="1">
        <v>5</v>
      </c>
    </row>
    <row r="27" spans="2:27" s="1" customFormat="1" ht="16.5" customHeight="1" x14ac:dyDescent="0.3">
      <c r="B27" s="1" t="s">
        <v>196</v>
      </c>
      <c r="C27" s="21"/>
      <c r="D27" s="48">
        <v>3</v>
      </c>
      <c r="E27" s="31" t="s">
        <v>206</v>
      </c>
      <c r="F27" s="51"/>
      <c r="G27" s="32" t="s">
        <v>225</v>
      </c>
      <c r="H27" s="58">
        <v>1</v>
      </c>
      <c r="I27" s="28" t="s">
        <v>213</v>
      </c>
      <c r="J27" s="44" t="s">
        <v>216</v>
      </c>
      <c r="K27" s="44"/>
      <c r="L27" s="25"/>
      <c r="M27" s="56" t="s">
        <v>258</v>
      </c>
      <c r="N27" s="26"/>
      <c r="O27" s="48">
        <v>3</v>
      </c>
      <c r="P27" s="31" t="s">
        <v>206</v>
      </c>
      <c r="Q27" s="51"/>
      <c r="R27" s="32" t="s">
        <v>211</v>
      </c>
      <c r="S27" s="58">
        <v>1</v>
      </c>
      <c r="T27" s="43" t="s">
        <v>213</v>
      </c>
      <c r="U27" s="44" t="s">
        <v>216</v>
      </c>
      <c r="V27" s="44"/>
      <c r="W27" s="48"/>
      <c r="X27" s="4"/>
      <c r="Z27" s="1" t="s">
        <v>193</v>
      </c>
      <c r="AA27" s="1">
        <v>60</v>
      </c>
    </row>
    <row r="28" spans="2:27" s="1" customFormat="1" ht="16.5" customHeight="1" x14ac:dyDescent="0.3">
      <c r="B28" s="1" t="s">
        <v>196</v>
      </c>
      <c r="C28" s="21"/>
      <c r="D28" s="48">
        <v>4</v>
      </c>
      <c r="E28" s="31" t="s">
        <v>207</v>
      </c>
      <c r="F28" s="48"/>
      <c r="G28" s="32" t="s">
        <v>224</v>
      </c>
      <c r="H28" s="58">
        <v>1</v>
      </c>
      <c r="I28" s="28" t="s">
        <v>213</v>
      </c>
      <c r="J28" s="44" t="s">
        <v>217</v>
      </c>
      <c r="K28" s="44" t="s">
        <v>218</v>
      </c>
      <c r="L28" s="25"/>
      <c r="M28" s="56" t="s">
        <v>258</v>
      </c>
      <c r="N28" s="26"/>
      <c r="O28" s="48">
        <v>4</v>
      </c>
      <c r="P28" s="31" t="s">
        <v>207</v>
      </c>
      <c r="Q28" s="48"/>
      <c r="R28" s="32" t="s">
        <v>212</v>
      </c>
      <c r="S28" s="58">
        <v>1</v>
      </c>
      <c r="T28" s="43" t="s">
        <v>230</v>
      </c>
      <c r="U28" s="44" t="s">
        <v>217</v>
      </c>
      <c r="V28" s="44" t="s">
        <v>219</v>
      </c>
      <c r="W28" s="48"/>
      <c r="X28" s="4"/>
      <c r="Z28" s="1" t="s">
        <v>193</v>
      </c>
      <c r="AA28" s="1">
        <v>1</v>
      </c>
    </row>
    <row r="29" spans="2:27" s="1" customFormat="1" ht="16.5" customHeight="1" x14ac:dyDescent="0.3">
      <c r="B29" s="1" t="s">
        <v>196</v>
      </c>
      <c r="C29" s="21"/>
      <c r="D29" s="48">
        <v>5</v>
      </c>
      <c r="E29" s="31" t="s">
        <v>190</v>
      </c>
      <c r="F29" s="55"/>
      <c r="G29" s="32" t="s">
        <v>193</v>
      </c>
      <c r="H29" s="58">
        <v>1</v>
      </c>
      <c r="I29" s="28"/>
      <c r="J29" s="44" t="s">
        <v>220</v>
      </c>
      <c r="K29" s="44"/>
      <c r="L29" s="56"/>
      <c r="M29" s="56"/>
      <c r="N29" s="26"/>
      <c r="O29" s="48"/>
      <c r="P29" s="31"/>
      <c r="Q29" s="55"/>
      <c r="R29" s="32"/>
      <c r="S29" s="58"/>
      <c r="T29" s="28"/>
      <c r="U29" s="44"/>
      <c r="V29" s="44"/>
      <c r="W29" s="55"/>
      <c r="X29" s="4"/>
      <c r="Z29" s="1" t="s">
        <v>193</v>
      </c>
      <c r="AA29" s="1">
        <v>1</v>
      </c>
    </row>
    <row r="30" spans="2:27" s="1" customFormat="1" ht="16.5" customHeight="1" x14ac:dyDescent="0.3">
      <c r="B30" s="1" t="s">
        <v>196</v>
      </c>
      <c r="C30" s="21"/>
      <c r="D30" s="48">
        <v>6</v>
      </c>
      <c r="E30" s="31" t="s">
        <v>191</v>
      </c>
      <c r="F30" s="55"/>
      <c r="G30" s="32" t="s">
        <v>193</v>
      </c>
      <c r="H30" s="58">
        <v>36</v>
      </c>
      <c r="I30" s="28"/>
      <c r="J30" s="44" t="s">
        <v>221</v>
      </c>
      <c r="K30" s="44"/>
      <c r="L30" s="56"/>
      <c r="M30" s="56"/>
      <c r="N30" s="26"/>
      <c r="O30" s="48"/>
      <c r="P30" s="31"/>
      <c r="Q30" s="55"/>
      <c r="R30" s="32"/>
      <c r="S30" s="58"/>
      <c r="T30" s="28"/>
      <c r="U30" s="44"/>
      <c r="V30" s="44"/>
      <c r="W30" s="55"/>
      <c r="X30" s="4"/>
      <c r="Z30" s="1" t="s">
        <v>193</v>
      </c>
      <c r="AA30" s="1">
        <v>1</v>
      </c>
    </row>
    <row r="31" spans="2:27" s="1" customFormat="1" ht="16.5" customHeight="1" x14ac:dyDescent="0.3">
      <c r="B31" s="1" t="s">
        <v>196</v>
      </c>
      <c r="C31" s="21"/>
      <c r="D31" s="48">
        <v>7</v>
      </c>
      <c r="E31" s="31" t="s">
        <v>192</v>
      </c>
      <c r="F31" s="55"/>
      <c r="G31" s="32" t="s">
        <v>227</v>
      </c>
      <c r="H31" s="58"/>
      <c r="I31" s="28"/>
      <c r="J31" s="44" t="s">
        <v>222</v>
      </c>
      <c r="K31" s="44"/>
      <c r="L31" s="56"/>
      <c r="M31" s="56"/>
      <c r="N31" s="26"/>
      <c r="O31" s="48"/>
      <c r="P31" s="31"/>
      <c r="Q31" s="55"/>
      <c r="R31" s="32"/>
      <c r="S31" s="58"/>
      <c r="T31" s="28"/>
      <c r="U31" s="44"/>
      <c r="V31" s="44"/>
      <c r="W31" s="55"/>
      <c r="X31" s="4"/>
      <c r="Z31" s="1" t="s">
        <v>193</v>
      </c>
      <c r="AA31" s="1">
        <v>36</v>
      </c>
    </row>
    <row r="32" spans="2:27" s="1" customFormat="1" ht="16.5" customHeight="1" x14ac:dyDescent="0.3">
      <c r="C32" s="21"/>
      <c r="D32" s="55"/>
      <c r="E32" s="31"/>
      <c r="F32" s="55"/>
      <c r="G32" s="32"/>
      <c r="H32" s="29"/>
      <c r="I32" s="28"/>
      <c r="J32" s="70"/>
      <c r="K32" s="70"/>
      <c r="L32" s="66"/>
      <c r="M32" s="66"/>
      <c r="N32" s="67"/>
      <c r="O32" s="69"/>
      <c r="P32" s="68"/>
      <c r="Q32" s="69"/>
      <c r="R32" s="32"/>
      <c r="S32" s="29"/>
      <c r="T32" s="28"/>
      <c r="U32" s="70"/>
      <c r="V32" s="57"/>
      <c r="W32" s="55"/>
      <c r="X32" s="4"/>
      <c r="Z32" s="1" t="s">
        <v>188</v>
      </c>
      <c r="AA32" s="1">
        <v>30</v>
      </c>
    </row>
    <row r="33" spans="2:24" s="1" customFormat="1" ht="16.5" customHeight="1" x14ac:dyDescent="0.3">
      <c r="C33" s="21"/>
      <c r="D33" s="55"/>
      <c r="E33" s="31"/>
      <c r="F33" s="55"/>
      <c r="G33" s="32"/>
      <c r="H33" s="29"/>
      <c r="I33" s="28"/>
      <c r="J33" s="70"/>
      <c r="K33" s="70"/>
      <c r="L33" s="71"/>
      <c r="M33" s="71"/>
      <c r="N33" s="67"/>
      <c r="O33" s="69"/>
      <c r="P33" s="68"/>
      <c r="Q33" s="69"/>
      <c r="R33" s="32"/>
      <c r="S33" s="29"/>
      <c r="T33" s="28"/>
      <c r="U33" s="70"/>
      <c r="V33" s="57"/>
      <c r="W33" s="55"/>
      <c r="X33" s="4"/>
    </row>
    <row r="34" spans="2:24" s="1" customFormat="1" ht="16.5" customHeight="1" x14ac:dyDescent="0.3">
      <c r="B34" s="1" t="s">
        <v>197</v>
      </c>
      <c r="C34" s="72" t="s">
        <v>235</v>
      </c>
      <c r="D34" s="55">
        <v>1</v>
      </c>
      <c r="E34" s="31" t="s">
        <v>236</v>
      </c>
      <c r="F34" s="55"/>
      <c r="G34" s="32" t="s">
        <v>193</v>
      </c>
      <c r="H34" s="58">
        <v>50</v>
      </c>
      <c r="I34" s="28"/>
      <c r="J34" s="73" t="s">
        <v>237</v>
      </c>
      <c r="K34" s="70"/>
      <c r="L34" s="71"/>
      <c r="M34" s="71"/>
      <c r="N34" s="67"/>
      <c r="O34" s="69"/>
      <c r="P34" s="68"/>
      <c r="Q34" s="69"/>
      <c r="R34" s="32"/>
      <c r="S34" s="29"/>
      <c r="T34" s="28"/>
      <c r="U34" s="70"/>
      <c r="V34" s="57"/>
      <c r="W34" s="55"/>
      <c r="X34" s="4"/>
    </row>
    <row r="35" spans="2:24" s="1" customFormat="1" ht="16.5" customHeight="1" x14ac:dyDescent="0.3">
      <c r="B35" s="1" t="s">
        <v>197</v>
      </c>
      <c r="C35" s="21"/>
      <c r="D35" s="55">
        <v>2</v>
      </c>
      <c r="E35" s="31" t="s">
        <v>238</v>
      </c>
      <c r="F35" s="55"/>
      <c r="G35" s="32" t="s">
        <v>193</v>
      </c>
      <c r="H35" s="58">
        <v>250</v>
      </c>
      <c r="I35" s="28"/>
      <c r="J35" s="73" t="s">
        <v>239</v>
      </c>
      <c r="K35" s="70"/>
      <c r="L35" s="71"/>
      <c r="M35" s="71"/>
      <c r="N35" s="67"/>
      <c r="O35" s="69"/>
      <c r="P35" s="68"/>
      <c r="Q35" s="69"/>
      <c r="R35" s="32"/>
      <c r="S35" s="29"/>
      <c r="T35" s="28"/>
      <c r="U35" s="70"/>
      <c r="V35" s="57"/>
      <c r="W35" s="55"/>
      <c r="X35" s="4"/>
    </row>
    <row r="36" spans="2:24" s="1" customFormat="1" ht="16.5" customHeight="1" x14ac:dyDescent="0.3">
      <c r="B36" s="1" t="s">
        <v>197</v>
      </c>
      <c r="C36" s="21"/>
      <c r="D36" s="55">
        <v>3</v>
      </c>
      <c r="E36" s="31" t="s">
        <v>240</v>
      </c>
      <c r="F36" s="55"/>
      <c r="G36" s="32" t="s">
        <v>193</v>
      </c>
      <c r="H36" s="58">
        <v>250</v>
      </c>
      <c r="I36" s="28"/>
      <c r="J36" s="73" t="s">
        <v>241</v>
      </c>
      <c r="K36" s="70"/>
      <c r="L36" s="71"/>
      <c r="M36" s="71"/>
      <c r="N36" s="67"/>
      <c r="O36" s="69"/>
      <c r="P36" s="68"/>
      <c r="Q36" s="69"/>
      <c r="R36" s="32"/>
      <c r="S36" s="29"/>
      <c r="T36" s="28"/>
      <c r="U36" s="70"/>
      <c r="V36" s="57"/>
      <c r="W36" s="55"/>
      <c r="X36" s="4"/>
    </row>
    <row r="37" spans="2:24" s="1" customFormat="1" ht="16.5" customHeight="1" x14ac:dyDescent="0.3">
      <c r="B37" s="1" t="s">
        <v>197</v>
      </c>
      <c r="C37" s="21"/>
      <c r="D37" s="55">
        <v>4</v>
      </c>
      <c r="E37" s="31" t="s">
        <v>242</v>
      </c>
      <c r="F37" s="55"/>
      <c r="G37" s="32" t="s">
        <v>193</v>
      </c>
      <c r="H37" s="58">
        <v>250</v>
      </c>
      <c r="I37" s="28"/>
      <c r="J37" s="73" t="s">
        <v>243</v>
      </c>
      <c r="K37" s="70"/>
      <c r="L37" s="71"/>
      <c r="M37" s="71"/>
      <c r="N37" s="67"/>
      <c r="O37" s="69"/>
      <c r="P37" s="68"/>
      <c r="Q37" s="69"/>
      <c r="R37" s="32"/>
      <c r="S37" s="29"/>
      <c r="T37" s="28"/>
      <c r="U37" s="70"/>
      <c r="V37" s="57"/>
      <c r="W37" s="55"/>
      <c r="X37" s="4"/>
    </row>
    <row r="38" spans="2:24" s="1" customFormat="1" ht="16.5" customHeight="1" x14ac:dyDescent="0.3">
      <c r="B38" s="1" t="s">
        <v>197</v>
      </c>
      <c r="C38" s="21"/>
      <c r="D38" s="55">
        <v>5</v>
      </c>
      <c r="E38" s="31" t="s">
        <v>244</v>
      </c>
      <c r="F38" s="55"/>
      <c r="G38" s="32" t="s">
        <v>193</v>
      </c>
      <c r="H38" s="58">
        <v>250</v>
      </c>
      <c r="I38" s="28"/>
      <c r="J38" s="73" t="s">
        <v>245</v>
      </c>
      <c r="K38" s="70"/>
      <c r="L38" s="71"/>
      <c r="M38" s="71"/>
      <c r="N38" s="67"/>
      <c r="O38" s="69"/>
      <c r="P38" s="68"/>
      <c r="Q38" s="69"/>
      <c r="R38" s="32"/>
      <c r="S38" s="29"/>
      <c r="T38" s="28"/>
      <c r="U38" s="70"/>
      <c r="V38" s="57"/>
      <c r="W38" s="55"/>
      <c r="X38" s="4"/>
    </row>
    <row r="39" spans="2:24" s="1" customFormat="1" x14ac:dyDescent="0.3">
      <c r="B39" s="1" t="s">
        <v>197</v>
      </c>
      <c r="C39" s="21"/>
      <c r="D39" s="55">
        <v>6</v>
      </c>
      <c r="E39" s="31" t="s">
        <v>246</v>
      </c>
      <c r="F39" s="55"/>
      <c r="G39" s="32" t="s">
        <v>193</v>
      </c>
      <c r="H39" s="58" t="s">
        <v>247</v>
      </c>
      <c r="I39" s="28"/>
      <c r="J39" s="73" t="s">
        <v>248</v>
      </c>
      <c r="K39" s="70"/>
      <c r="L39" s="71"/>
      <c r="M39" s="71"/>
      <c r="N39" s="67"/>
      <c r="O39" s="69"/>
      <c r="P39" s="68"/>
      <c r="Q39" s="69"/>
      <c r="R39" s="32"/>
      <c r="S39" s="29"/>
      <c r="T39" s="28"/>
      <c r="U39" s="70"/>
      <c r="V39" s="57"/>
      <c r="W39" s="55"/>
      <c r="X39" s="4"/>
    </row>
    <row r="40" spans="2:24" s="1" customFormat="1" ht="16.5" customHeight="1" x14ac:dyDescent="0.3">
      <c r="B40" s="1" t="s">
        <v>197</v>
      </c>
      <c r="C40" s="21"/>
      <c r="D40" s="55">
        <v>7</v>
      </c>
      <c r="E40" s="31" t="s">
        <v>249</v>
      </c>
      <c r="F40" s="55"/>
      <c r="G40" s="32" t="s">
        <v>193</v>
      </c>
      <c r="H40" s="29">
        <v>100</v>
      </c>
      <c r="I40" s="28"/>
      <c r="J40" s="70" t="s">
        <v>250</v>
      </c>
      <c r="K40" s="70"/>
      <c r="L40" s="66"/>
      <c r="M40" s="66"/>
      <c r="N40" s="67"/>
      <c r="O40" s="69"/>
      <c r="P40" s="68"/>
      <c r="Q40" s="69"/>
      <c r="R40" s="32"/>
      <c r="S40" s="29"/>
      <c r="T40" s="28"/>
      <c r="U40" s="70"/>
      <c r="V40" s="57"/>
      <c r="W40" s="55"/>
      <c r="X40" s="4"/>
    </row>
    <row r="41" spans="2:24" s="1" customFormat="1" ht="16.5" customHeight="1" x14ac:dyDescent="0.3">
      <c r="B41" s="1" t="s">
        <v>197</v>
      </c>
      <c r="C41" s="21"/>
      <c r="D41" s="55">
        <v>8</v>
      </c>
      <c r="E41" s="31" t="s">
        <v>251</v>
      </c>
      <c r="F41" s="55"/>
      <c r="G41" s="32" t="s">
        <v>193</v>
      </c>
      <c r="H41" s="29">
        <v>250</v>
      </c>
      <c r="I41" s="28"/>
      <c r="J41" s="70" t="s">
        <v>252</v>
      </c>
      <c r="K41" s="70"/>
      <c r="L41" s="66"/>
      <c r="M41" s="66"/>
      <c r="N41" s="67"/>
      <c r="O41" s="69"/>
      <c r="P41" s="68"/>
      <c r="Q41" s="69"/>
      <c r="R41" s="32"/>
      <c r="S41" s="29"/>
      <c r="T41" s="28"/>
      <c r="U41" s="70"/>
      <c r="V41" s="57"/>
      <c r="W41" s="55"/>
      <c r="X41" s="4"/>
    </row>
    <row r="42" spans="2:24" s="1" customFormat="1" ht="16.5" customHeight="1" x14ac:dyDescent="0.3">
      <c r="B42" s="1" t="s">
        <v>197</v>
      </c>
      <c r="C42" s="21"/>
      <c r="D42" s="55">
        <v>9</v>
      </c>
      <c r="E42" s="31" t="s">
        <v>253</v>
      </c>
      <c r="F42" s="55"/>
      <c r="G42" s="32" t="s">
        <v>193</v>
      </c>
      <c r="H42" s="29">
        <v>250</v>
      </c>
      <c r="I42" s="28"/>
      <c r="J42" s="70" t="s">
        <v>254</v>
      </c>
      <c r="K42" s="44"/>
      <c r="L42" s="25"/>
      <c r="M42" s="56"/>
      <c r="N42" s="26"/>
      <c r="O42" s="48"/>
      <c r="P42" s="31"/>
      <c r="Q42" s="48"/>
      <c r="R42" s="32"/>
      <c r="S42" s="29"/>
      <c r="T42" s="28"/>
      <c r="U42" s="44"/>
      <c r="V42" s="49"/>
      <c r="W42" s="48"/>
      <c r="X42" s="4"/>
    </row>
    <row r="43" spans="2:24" s="1" customFormat="1" ht="16.5" customHeight="1" x14ac:dyDescent="0.3">
      <c r="C43" s="21"/>
      <c r="D43" s="48"/>
      <c r="E43" s="31"/>
      <c r="F43" s="48"/>
      <c r="G43" s="32"/>
      <c r="H43" s="44"/>
      <c r="I43" s="28"/>
      <c r="J43" s="44"/>
      <c r="K43" s="44"/>
      <c r="L43" s="25"/>
      <c r="M43" s="56"/>
      <c r="N43" s="26"/>
      <c r="O43" s="48"/>
      <c r="P43" s="31"/>
      <c r="Q43" s="48"/>
      <c r="R43" s="32"/>
      <c r="S43" s="44"/>
      <c r="T43" s="43"/>
      <c r="U43" s="33"/>
      <c r="V43" s="49"/>
      <c r="W43" s="48"/>
      <c r="X43" s="4"/>
    </row>
    <row r="44" spans="2:24" s="1" customFormat="1" ht="16.5" customHeight="1" x14ac:dyDescent="0.3">
      <c r="C44" s="21"/>
      <c r="D44" s="43"/>
      <c r="E44" s="44"/>
      <c r="F44" s="43"/>
      <c r="G44" s="44"/>
      <c r="H44" s="44"/>
      <c r="I44" s="43"/>
      <c r="J44" s="5"/>
      <c r="K44" s="44"/>
      <c r="L44" s="25"/>
      <c r="M44" s="56"/>
      <c r="N44" s="26"/>
      <c r="O44" s="48"/>
      <c r="P44" s="44"/>
      <c r="Q44" s="48"/>
      <c r="R44" s="49"/>
      <c r="S44" s="49"/>
      <c r="T44" s="43"/>
      <c r="U44" s="44"/>
      <c r="V44" s="49"/>
      <c r="W44" s="48"/>
      <c r="X44" s="4"/>
    </row>
    <row r="45" spans="2:24" s="1" customFormat="1" x14ac:dyDescent="0.3">
      <c r="D45" s="6"/>
      <c r="G45" s="2"/>
      <c r="J45" s="7"/>
      <c r="L45" s="8"/>
      <c r="M45" s="8"/>
      <c r="O45" s="6"/>
      <c r="R45" s="2"/>
      <c r="U45" s="7"/>
      <c r="W45" s="8"/>
    </row>
    <row r="46" spans="2:24" ht="51.75" customHeight="1" x14ac:dyDescent="0.3">
      <c r="C46" s="17" t="s">
        <v>233</v>
      </c>
      <c r="D46" s="92" t="s">
        <v>223</v>
      </c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</row>
    <row r="48" spans="2:24" ht="97.5" customHeight="1" x14ac:dyDescent="0.3">
      <c r="C48" s="17" t="s">
        <v>194</v>
      </c>
      <c r="D48" s="91" t="s">
        <v>234</v>
      </c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</row>
  </sheetData>
  <mergeCells count="49">
    <mergeCell ref="Z24:AA24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48:X48"/>
    <mergeCell ref="D46:X46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</mergeCells>
  <phoneticPr fontId="2" type="noConversion"/>
  <dataValidations count="1">
    <dataValidation type="list" allowBlank="1" showInputMessage="1" showErrorMessage="1" sqref="G11:M11" xr:uid="{00000000-0002-0000-0200-000000000000}">
      <formula1>$C$3:$C$43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1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2000000}">
          <x14:formula1>
            <xm:f>Code!$M$3:$M$4</xm:f>
          </x14:formula1>
          <xm:sqref>I18:I21 T18:T21 T25:T44 I25:I33 I43:I44</xm:sqref>
        </x14:dataValidation>
        <x14:dataValidation type="list" allowBlank="1" showInputMessage="1" showErrorMessage="1" xr:uid="{00000000-0002-0000-0200-000003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4000000}">
          <x14:formula1>
            <xm:f>Code!$B$3:$B$69</xm:f>
          </x14:formula1>
          <xm:sqref>R11:W11</xm:sqref>
        </x14:dataValidation>
        <x14:dataValidation type="list" allowBlank="1" showInputMessage="1" showErrorMessage="1" xr:uid="{00000000-0002-0000-0200-000005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I34:I42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322809-5178-442D-946B-96934989F1C3}">
  <ds:schemaRefs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731d854a-f254-4daf-80ce-63258d59822f"/>
    <ds:schemaRef ds:uri="http://www.w3.org/XML/1998/namespace"/>
    <ds:schemaRef ds:uri="http://schemas.microsoft.com/office/2006/metadata/properties"/>
    <ds:schemaRef ds:uri="891591aa-373a-40b2-a43b-d6e0e0ab11b3"/>
    <ds:schemaRef ds:uri="http://purl.org/dc/elements/1.1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IF_SRD_DPS_EBIZ_0001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2022-09-03T02:50:40Z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