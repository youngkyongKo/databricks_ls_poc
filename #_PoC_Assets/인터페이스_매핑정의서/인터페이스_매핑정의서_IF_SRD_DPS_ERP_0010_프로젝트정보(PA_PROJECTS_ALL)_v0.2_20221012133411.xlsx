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ku\Desktop\Document\02.날짜별\2022\20220902\"/>
    </mc:Choice>
  </mc:AlternateContent>
  <xr:revisionPtr revIDLastSave="0" documentId="13_ncr:1_{D097B9E4-AEFF-400B-A33F-2427CE770E6F}" xr6:coauthVersionLast="47" xr6:coauthVersionMax="47" xr10:uidLastSave="{00000000-0000-0000-0000-000000000000}"/>
  <bookViews>
    <workbookView xWindow="-120" yWindow="-120" windowWidth="29040" windowHeight="15840" tabRatio="836" xr2:uid="{00000000-000D-0000-FFFF-FFFF00000000}"/>
  </bookViews>
  <sheets>
    <sheet name="변경이력관리" sheetId="2" r:id="rId1"/>
    <sheet name="Code" sheetId="8" state="hidden" r:id="rId2"/>
    <sheet name="IF_SRD_DPS_ERP_0010" sheetId="5" r:id="rId3"/>
  </sheets>
  <externalReferences>
    <externalReference r:id="rId4"/>
  </externalReferences>
  <definedNames>
    <definedName name="_xlnm._FilterDatabase" localSheetId="2" hidden="1">IF_SRD_DPS_ERP_0010!$C$25:$X$218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LSH CSPI</author>
    <author>이성현 ((주)CSPI)</author>
  </authors>
  <commentList>
    <comment ref="C3" authorId="0" shapeId="0" xr:uid="{00000000-0006-0000-0200-00000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 xr:uid="{00000000-0006-0000-0200-00000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 xr:uid="{00000000-0006-0000-0200-00000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 xr:uid="{00000000-0006-0000-0200-00000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 xr:uid="{00000000-0006-0000-0200-00000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 xr:uid="{00000000-0006-0000-0200-00000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 xr:uid="{00000000-0006-0000-0200-000008000000}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 xr:uid="{00000000-0006-0000-0200-00000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 xr:uid="{00000000-0006-0000-0200-00000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 xr:uid="{00000000-0006-0000-0200-00000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 xr:uid="{00000000-0006-0000-0200-00000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 xr:uid="{00000000-0006-0000-0200-00000D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 xr:uid="{00000000-0006-0000-0200-00000E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 xr:uid="{00000000-0006-0000-0200-00000F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 xr:uid="{00000000-0006-0000-0200-000010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 xr:uid="{00000000-0006-0000-0200-00001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 xr:uid="{00000000-0006-0000-0200-00001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 xr:uid="{00000000-0006-0000-0200-00001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 xr:uid="{00000000-0006-0000-0200-00001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 xr:uid="{00000000-0006-0000-0200-00001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 xr:uid="{00000000-0006-0000-0200-00001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 xr:uid="{00000000-0006-0000-0200-00001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 xr:uid="{00000000-0006-0000-0200-000018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 xr:uid="{00000000-0006-0000-0200-00001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 xr:uid="{00000000-0006-0000-0200-00001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 xr:uid="{00000000-0006-0000-0200-00001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 xr:uid="{00000000-0006-0000-0200-00001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</commentList>
</comments>
</file>

<file path=xl/sharedStrings.xml><?xml version="1.0" encoding="utf-8"?>
<sst xmlns="http://schemas.openxmlformats.org/spreadsheetml/2006/main" count="2068" uniqueCount="513">
  <si>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</si>
  <si>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</si>
  <si>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</si>
  <si>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</si>
  <si>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</si>
  <si>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</si>
  <si>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</si>
  <si>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</si>
  <si>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</si>
  <si>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</si>
  <si>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</si>
  <si>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</si>
  <si>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</si>
  <si>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</si>
  <si>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</si>
  <si>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</si>
  <si>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</si>
  <si>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</si>
  <si>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</si>
  <si>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</si>
  <si>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</si>
  <si>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</si>
  <si>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</si>
  <si>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</si>
  <si>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</si>
  <si>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</si>
  <si>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</si>
  <si>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</si>
  <si>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</si>
  <si>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</si>
  <si>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</si>
  <si>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</si>
  <si>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</si>
  <si>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</si>
  <si>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</si>
  <si>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</si>
  <si>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</si>
  <si>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</si>
  <si>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</si>
  <si>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</si>
  <si>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</si>
  <si>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</si>
  <si>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</si>
  <si>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</si>
  <si>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</si>
  <si>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</si>
  <si>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</si>
  <si>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</si>
  <si>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</si>
  <si>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</si>
  <si>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</si>
  <si>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</si>
  <si>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</si>
  <si>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</si>
  <si>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</si>
  <si>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</si>
  <si>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</si>
  <si>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</si>
  <si>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</si>
  <si>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</si>
  <si>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</si>
  <si>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</si>
  <si>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</si>
  <si>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</si>
  <si>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</si>
  <si>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</si>
  <si>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</si>
  <si>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</si>
  <si>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</si>
  <si>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</si>
  <si>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</si>
  <si>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</si>
  <si>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</si>
  <si>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</si>
  <si>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</si>
  <si>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</si>
  <si>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</si>
  <si>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</si>
  <si>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</si>
  <si>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</si>
  <si>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</si>
  <si>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</si>
  <si>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</si>
  <si>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</si>
  <si>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</si>
  <si>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</si>
  <si>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</si>
  <si>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</si>
  <si>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</si>
  <si>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</si>
  <si>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</si>
  <si>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</si>
  <si>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</si>
  <si>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</si>
  <si>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</si>
  <si>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</si>
  <si>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</si>
  <si>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</si>
  <si>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</si>
  <si>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</si>
  <si>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</si>
  <si>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</si>
  <si>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</si>
  <si>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</si>
  <si>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</si>
  <si>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</si>
  <si>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</si>
  <si>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</si>
  <si>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</si>
  <si>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</si>
  <si>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</si>
  <si>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</si>
  <si>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</si>
  <si>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</si>
  <si>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</si>
  <si>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</si>
  <si>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</si>
  <si>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</si>
  <si>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</si>
  <si>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</si>
  <si>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</si>
  <si>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</si>
  <si>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</si>
  <si>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</si>
  <si>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</si>
  <si>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</si>
  <si>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</si>
  <si>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</si>
  <si>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</si>
  <si>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</si>
  <si>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</si>
  <si>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</si>
  <si>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</si>
  <si>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</si>
  <si>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</si>
  <si>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</si>
  <si>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</si>
  <si>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</si>
  <si>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</si>
  <si>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</si>
  <si>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</si>
  <si>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</si>
  <si>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</si>
  <si>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</si>
  <si>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</si>
  <si>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</si>
  <si>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</si>
  <si>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</si>
  <si>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</si>
  <si>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</si>
  <si>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매핑 정의서</t>
    <phoneticPr fontId="2" type="noConversion"/>
  </si>
  <si>
    <t>Interface ID</t>
  </si>
  <si>
    <t>Interface Name</t>
  </si>
  <si>
    <t>Description</t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</si>
  <si>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</si>
  <si>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</si>
  <si>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</si>
  <si>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</si>
  <si>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</si>
  <si>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</si>
  <si>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</si>
  <si>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</si>
  <si>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</si>
  <si>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</si>
  <si>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</si>
  <si>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Target
기능 요건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</si>
  <si>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</si>
  <si>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</si>
  <si>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</si>
  <si>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</si>
  <si>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</si>
  <si>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</si>
  <si>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Object</t>
    <phoneticPr fontId="2" type="noConversion"/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</si>
  <si>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</si>
  <si>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</si>
  <si>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</si>
  <si>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</si>
  <si>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</si>
  <si>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</si>
  <si>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</si>
  <si>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</si>
  <si>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</si>
  <si>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</si>
  <si>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Y</t>
  </si>
  <si>
    <t>SQL Query
(ERP)</t>
    <phoneticPr fontId="2" type="noConversion"/>
  </si>
  <si>
    <t>이베스트</t>
    <phoneticPr fontId="2" type="noConversion"/>
  </si>
  <si>
    <t>Online / 수시 (호출빈도 : 일 1회)</t>
    <phoneticPr fontId="2" type="noConversion"/>
  </si>
  <si>
    <t>EBEST</t>
    <phoneticPr fontId="2" type="noConversion"/>
  </si>
  <si>
    <t>DB</t>
  </si>
  <si>
    <t>ERP</t>
    <phoneticPr fontId="2" type="noConversion"/>
  </si>
  <si>
    <t>1. SQL Query를 수행하여 Datalake Object에 Insert 한다.</t>
    <phoneticPr fontId="2" type="noConversion"/>
  </si>
  <si>
    <t>ATTRIBUTE1</t>
  </si>
  <si>
    <t>ATTRIBUTE2</t>
  </si>
  <si>
    <t>ATTRIBUTE3</t>
  </si>
  <si>
    <t>ATTRIBUTE4</t>
  </si>
  <si>
    <t>ATTRIBUTE5</t>
  </si>
  <si>
    <t>ATTRIBUTE6</t>
  </si>
  <si>
    <t>ATTRIBUTE7</t>
  </si>
  <si>
    <t>ATTRIBUTE8</t>
  </si>
  <si>
    <t>ATTRIBUTE9</t>
  </si>
  <si>
    <t>ATTRIBUTE10</t>
  </si>
  <si>
    <t>NUMBER</t>
  </si>
  <si>
    <t>DATE</t>
  </si>
  <si>
    <t/>
  </si>
  <si>
    <t>1. Temp Table 을 Truncate 한다. (EAI에서는 빈 table에 최신 데이터를 전체 적재만 함)
2. EAI Rest API 호출
3. Temp에서 본 테이블로 적재. (해당 건은 전체 삭제 후 적재 형태)</t>
    <phoneticPr fontId="2" type="noConversion"/>
  </si>
  <si>
    <t>ORG_ID</t>
  </si>
  <si>
    <t>LOCATION_ID</t>
  </si>
  <si>
    <t>VARCHAR2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</si>
  <si>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</si>
  <si>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</si>
  <si>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</si>
  <si>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</si>
  <si>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</si>
  <si>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</si>
  <si>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PA_PROJECTS_ALL</t>
    <phoneticPr fontId="2" type="noConversion"/>
  </si>
  <si>
    <t>PA</t>
    <phoneticPr fontId="2" type="noConversion"/>
  </si>
  <si>
    <t>PROJECT_ID</t>
  </si>
  <si>
    <t>NAME</t>
  </si>
  <si>
    <t>SEGMENT1</t>
  </si>
  <si>
    <t>LAST_UPDATE_DATE</t>
  </si>
  <si>
    <t>LAST_UPDATED_BY</t>
  </si>
  <si>
    <t>CREATION_DATE</t>
  </si>
  <si>
    <t>CREATED_BY</t>
  </si>
  <si>
    <t>LAST_UPDATE_LOGIN</t>
  </si>
  <si>
    <t>PROJECT_TYPE</t>
  </si>
  <si>
    <t>CARRYING_OUT_ORGANIZATION_ID</t>
  </si>
  <si>
    <t>PUBLIC_SECTOR_FLAG</t>
  </si>
  <si>
    <t>PROJECT_STATUS_CODE</t>
  </si>
  <si>
    <t>DESCRIPTION</t>
  </si>
  <si>
    <t>START_DATE</t>
  </si>
  <si>
    <t>COMPLETION_DATE</t>
  </si>
  <si>
    <t>CLOSED_DATE</t>
  </si>
  <si>
    <t>DISTRIBUTION_RULE</t>
  </si>
  <si>
    <t>LABOR_INVOICE_FORMAT_ID</t>
  </si>
  <si>
    <t>NON_LABOR_INVOICE_FORMAT_ID</t>
  </si>
  <si>
    <t>RETENTION_INVOICE_FORMAT_ID</t>
  </si>
  <si>
    <t>RETENTION_PERCENTAGE</t>
  </si>
  <si>
    <t>BILLING_OFFSET</t>
  </si>
  <si>
    <t>BILLING_CYCLE</t>
  </si>
  <si>
    <t>LABOR_STD_BILL_RATE_SCHDL</t>
  </si>
  <si>
    <t>LABOR_BILL_RATE_ORG_ID</t>
  </si>
  <si>
    <t>LABOR_SCHEDULE_FIXED_DATE</t>
  </si>
  <si>
    <t>LABOR_SCHEDULE_DISCOUNT</t>
  </si>
  <si>
    <t>NON_LABOR_STD_BILL_RATE_SCHDL</t>
  </si>
  <si>
    <t>NON_LABOR_BILL_RATE_ORG_ID</t>
  </si>
  <si>
    <t>NON_LABOR_SCHEDULE_FIXED_DATE</t>
  </si>
  <si>
    <t>NON_LABOR_SCHEDULE_DISCOUNT</t>
  </si>
  <si>
    <t>LIMIT_TO_TXN_CONTROLS_FLAG</t>
  </si>
  <si>
    <t>PROJECT_LEVEL_FUNDING_FLAG</t>
  </si>
  <si>
    <t>INVOICE_COMMENT</t>
  </si>
  <si>
    <t>UNBILLED_RECEIVABLE_DR</t>
  </si>
  <si>
    <t>UNEARNED_REVENUE_CR</t>
  </si>
  <si>
    <t>REQUEST_ID</t>
  </si>
  <si>
    <t>PROGRAM_ID</t>
  </si>
  <si>
    <t>PROGRAM_APPLICATION_ID</t>
  </si>
  <si>
    <t>PROGRAM_UPDATE_DATE</t>
  </si>
  <si>
    <t>SUMMARY_FLAG</t>
  </si>
  <si>
    <t>ENABLED_FLAG</t>
  </si>
  <si>
    <t>SEGMENT2</t>
  </si>
  <si>
    <t>SEGMENT3</t>
  </si>
  <si>
    <t>SEGMENT4</t>
  </si>
  <si>
    <t>SEGMENT5</t>
  </si>
  <si>
    <t>SEGMENT6</t>
  </si>
  <si>
    <t>SEGMENT7</t>
  </si>
  <si>
    <t>SEGMENT8</t>
  </si>
  <si>
    <t>SEGMENT9</t>
  </si>
  <si>
    <t>SEGMENT10</t>
  </si>
  <si>
    <t>ATTRIBUTE_CATEGORY</t>
  </si>
  <si>
    <t>COST_IND_RATE_SCH_ID</t>
  </si>
  <si>
    <t>REV_IND_RATE_SCH_ID</t>
  </si>
  <si>
    <t>INV_IND_RATE_SCH_ID</t>
  </si>
  <si>
    <t>COST_IND_SCH_FIXED_DATE</t>
  </si>
  <si>
    <t>REV_IND_SCH_FIXED_DATE</t>
  </si>
  <si>
    <t>INV_IND_SCH_FIXED_DATE</t>
  </si>
  <si>
    <t>LABOR_SCH_TYPE</t>
  </si>
  <si>
    <t>NON_LABOR_SCH_TYPE</t>
  </si>
  <si>
    <t>OVR_COST_IND_RATE_SCH_ID</t>
  </si>
  <si>
    <t>OVR_REV_IND_RATE_SCH_ID</t>
  </si>
  <si>
    <t>OVR_INV_IND_RATE_SCH_ID</t>
  </si>
  <si>
    <t>TEMPLATE_FLAG</t>
  </si>
  <si>
    <t>VERIFICATION_DATE</t>
  </si>
  <si>
    <t>CREATED_FROM_PROJECT_ID</t>
  </si>
  <si>
    <t>TEMPLATE_START_DATE_ACTIVE</t>
  </si>
  <si>
    <t>TEMPLATE_END_DATE_ACTIVE</t>
  </si>
  <si>
    <t>PM_PRODUCT_CODE</t>
  </si>
  <si>
    <t>PM_PROJECT_REFERENCE</t>
  </si>
  <si>
    <t>ACTUAL_START_DATE</t>
  </si>
  <si>
    <t>ACTUAL_FINISH_DATE</t>
  </si>
  <si>
    <t>EARLY_START_DATE</t>
  </si>
  <si>
    <t>EARLY_FINISH_DATE</t>
  </si>
  <si>
    <t>LATE_START_DATE</t>
  </si>
  <si>
    <t>LATE_FINISH_DATE</t>
  </si>
  <si>
    <t>SCHEDULED_START_DATE</t>
  </si>
  <si>
    <t>SCHEDULED_FINISH_DATE</t>
  </si>
  <si>
    <t>BILLING_CYCLE_ID</t>
  </si>
  <si>
    <t>ADW_NOTIFY_FLAG</t>
  </si>
  <si>
    <t>WF_STATUS_CODE</t>
  </si>
  <si>
    <t>OUTPUT_TAX_CODE</t>
  </si>
  <si>
    <t>RETENTION_TAX_CODE</t>
  </si>
  <si>
    <t>PROJECT_CURRENCY_CODE</t>
  </si>
  <si>
    <t>ALLOW_CROSS_CHARGE_FLAG</t>
  </si>
  <si>
    <t>PROJECT_RATE_DATE</t>
  </si>
  <si>
    <t>PROJECT_RATE_TYPE</t>
  </si>
  <si>
    <t>CC_PROCESS_LABOR_FLAG</t>
  </si>
  <si>
    <t>LABOR_TP_SCHEDULE_ID</t>
  </si>
  <si>
    <t>LABOR_TP_FIXED_DATE</t>
  </si>
  <si>
    <t>CC_PROCESS_NL_FLAG</t>
  </si>
  <si>
    <t>NL_TP_SCHEDULE_ID</t>
  </si>
  <si>
    <t>NL_TP_FIXED_DATE</t>
  </si>
  <si>
    <t>CC_TAX_TASK_ID</t>
  </si>
  <si>
    <t>BILL_JOB_GROUP_ID</t>
  </si>
  <si>
    <t>COST_JOB_GROUP_ID</t>
  </si>
  <si>
    <t>ROLE_LIST_ID</t>
  </si>
  <si>
    <t>WORK_TYPE_ID</t>
  </si>
  <si>
    <t>CALENDAR_ID</t>
  </si>
  <si>
    <t>PROBABILITY_MEMBER_ID</t>
  </si>
  <si>
    <t>PROJECT_VALUE</t>
  </si>
  <si>
    <t>EXPECTED_APPROVAL_DATE</t>
  </si>
  <si>
    <t>RECORD_VERSION_NUMBER</t>
  </si>
  <si>
    <t>INITIAL_TEAM_TEMPLATE_ID</t>
  </si>
  <si>
    <t>JOB_BILL_RATE_SCHEDULE_ID</t>
  </si>
  <si>
    <t>EMP_BILL_RATE_SCHEDULE_ID</t>
  </si>
  <si>
    <t>COMPETENCE_MATCH_WT</t>
  </si>
  <si>
    <t>AVAILABILITY_MATCH_WT</t>
  </si>
  <si>
    <t>JOB_LEVEL_MATCH_WT</t>
  </si>
  <si>
    <t>ENABLE_AUTOMATED_SEARCH</t>
  </si>
  <si>
    <t>SEARCH_MIN_AVAILABILITY</t>
  </si>
  <si>
    <t>SEARCH_ORG_HIER_ID</t>
  </si>
  <si>
    <t>SEARCH_STARTING_ORG_ID</t>
  </si>
  <si>
    <t>SEARCH_COUNTRY_CODE</t>
  </si>
  <si>
    <t>MIN_CAND_SCORE_REQD_FOR_NOM</t>
  </si>
  <si>
    <t>NON_LAB_STD_BILL_RT_SCH_ID</t>
  </si>
  <si>
    <t>INVPROC_CURRENCY_TYPE</t>
  </si>
  <si>
    <t>REVPROC_CURRENCY_CODE</t>
  </si>
  <si>
    <t>PROJECT_BIL_RATE_DATE_CODE</t>
  </si>
  <si>
    <t>PROJECT_BIL_RATE_TYPE</t>
  </si>
  <si>
    <t>PROJECT_BIL_RATE_DATE</t>
  </si>
  <si>
    <t>PROJECT_BIL_EXCHANGE_RATE</t>
  </si>
  <si>
    <t>PROJFUNC_CURRENCY_CODE</t>
  </si>
  <si>
    <t>PROJFUNC_BIL_RATE_DATE_CODE</t>
  </si>
  <si>
    <t>PROJFUNC_BIL_RATE_TYPE</t>
  </si>
  <si>
    <t>PROJFUNC_BIL_RATE_DATE</t>
  </si>
  <si>
    <t>PROJFUNC_BIL_EXCHANGE_RATE</t>
  </si>
  <si>
    <t>FUNDING_RATE_DATE_CODE</t>
  </si>
  <si>
    <t>FUNDING_RATE_TYPE</t>
  </si>
  <si>
    <t>FUNDING_RATE_DATE</t>
  </si>
  <si>
    <t>FUNDING_EXCHANGE_RATE</t>
  </si>
  <si>
    <t>BASELINE_FUNDING_FLAG</t>
  </si>
  <si>
    <t>PROJFUNC_COST_RATE_TYPE</t>
  </si>
  <si>
    <t>PROJFUNC_COST_RATE_DATE</t>
  </si>
  <si>
    <t>INV_BY_BILL_TRANS_CURR_FLAG</t>
  </si>
  <si>
    <t>MULTI_CURRENCY_BILLING_FLAG</t>
  </si>
  <si>
    <t>SPLIT_COST_FROM_WORKPLAN_FLAG</t>
  </si>
  <si>
    <t>SPLIT_COST_FROM_BILL_FLAG</t>
  </si>
  <si>
    <t>ASSIGN_PRECEDES_TASK</t>
  </si>
  <si>
    <t>PRIORITY_CODE</t>
  </si>
  <si>
    <t>RETN_BILLING_INV_FORMAT_ID</t>
  </si>
  <si>
    <t>RETN_ACCOUNTING_FLAG</t>
  </si>
  <si>
    <t>ADV_ACTION_SET_ID</t>
  </si>
  <si>
    <t>START_ADV_ACTION_SET_FLAG</t>
  </si>
  <si>
    <t>REVALUATE_FUNDING_FLAG</t>
  </si>
  <si>
    <t>INCLUDE_GAINS_LOSSES_FLAG</t>
  </si>
  <si>
    <t>TARGET_START_DATE</t>
  </si>
  <si>
    <t>TARGET_FINISH_DATE</t>
  </si>
  <si>
    <t>BASELINE_START_DATE</t>
  </si>
  <si>
    <t>BASELINE_FINISH_DATE</t>
  </si>
  <si>
    <t>SCHEDULED_AS_OF_DATE</t>
  </si>
  <si>
    <t>BASELINE_AS_OF_DATE</t>
  </si>
  <si>
    <t>LABOR_DISC_REASON_CODE</t>
  </si>
  <si>
    <t>NON_LABOR_DISC_REASON_CODE</t>
  </si>
  <si>
    <t>SECURITY_LEVEL</t>
  </si>
  <si>
    <t>ACTUAL_AS_OF_DATE</t>
  </si>
  <si>
    <t>SCHEDULED_DURATION</t>
  </si>
  <si>
    <t>BASELINE_DURATION</t>
  </si>
  <si>
    <t>ACTUAL_DURATION</t>
  </si>
  <si>
    <t>LONG_NAME</t>
  </si>
  <si>
    <t>BTC_COST_BASE_REV_CODE</t>
  </si>
  <si>
    <t>ASSET_ALLOCATION_METHOD</t>
  </si>
  <si>
    <t>CAPITAL_EVENT_PROCESSING</t>
  </si>
  <si>
    <t>CINT_RATE_SCH_ID</t>
  </si>
  <si>
    <t>CINT_ELIGIBLE_FLAG</t>
  </si>
  <si>
    <t>CINT_STOP_DATE</t>
  </si>
  <si>
    <t>SYS_PROGRAM_FLAG</t>
  </si>
  <si>
    <t>STRUCTURE_SHARING_CODE</t>
  </si>
  <si>
    <t>ENABLE_TOP_TASK_CUSTOMER_FLAG</t>
  </si>
  <si>
    <t>ENABLE_TOP_TASK_INV_MTH_FLAG</t>
  </si>
  <si>
    <t>REVENUE_ACCRUAL_METHOD</t>
  </si>
  <si>
    <t>INVOICE_METHOD</t>
  </si>
  <si>
    <t>PROJFUNC_ATTR_FOR_AR_FLAG</t>
  </si>
  <si>
    <t>PJI_SOURCE_FLAG</t>
  </si>
  <si>
    <t>ALLOW_MULTI_PROGRAM_ROLLUP</t>
  </si>
  <si>
    <t>PROJ_REQ_RES_FORMAT_ID</t>
  </si>
  <si>
    <t>PROJ_ASGMT_RES_FORMAT_ID</t>
  </si>
  <si>
    <t>FUNDING_APPROVAL_STATUS_CODE</t>
  </si>
  <si>
    <t>REVTRANS_CURRENCY_TYPE</t>
  </si>
  <si>
    <t>17,2</t>
  </si>
  <si>
    <t>7,4</t>
  </si>
  <si>
    <t>22,5</t>
  </si>
  <si>
    <t>VARCHAR2</t>
    <phoneticPr fontId="2" type="noConversion"/>
  </si>
  <si>
    <t>Project_ID (Key 값)</t>
  </si>
  <si>
    <t>Project Name (일반적으로 사용 되지 않음)</t>
  </si>
  <si>
    <t>Project No</t>
  </si>
  <si>
    <t>Project 정보 가장 최근 변경 Date 정보</t>
  </si>
  <si>
    <t>Project 정보 가장 최근 변경 자 정보</t>
  </si>
  <si>
    <t>Project 정보 최초 생성 Date 정보</t>
  </si>
  <si>
    <t>Project 정보 최초 생성 자 정보</t>
  </si>
  <si>
    <t>Project 정보 가장 최근 변경 자 정보 ID 값</t>
  </si>
  <si>
    <t xml:space="preserve">Project Type </t>
  </si>
  <si>
    <t xml:space="preserve">Project 등록된 사업장 ID 정보 </t>
  </si>
  <si>
    <t>Project Status Code</t>
  </si>
  <si>
    <t>Project Description</t>
  </si>
  <si>
    <t>Project Start Date</t>
  </si>
  <si>
    <t>Project End Date</t>
  </si>
  <si>
    <t>Project Closing Date</t>
  </si>
  <si>
    <t xml:space="preserve">Project 계약 Date </t>
  </si>
  <si>
    <t>Project 승인 Status 여부</t>
  </si>
  <si>
    <t>Project End User Type 정보</t>
  </si>
  <si>
    <t>Project Market Segment 정보</t>
  </si>
  <si>
    <t>Project 외작or외주 대상 여부 정보</t>
  </si>
  <si>
    <t>Project 취소 여부 정보</t>
  </si>
  <si>
    <t>Project Hod 여부</t>
  </si>
  <si>
    <t xml:space="preserve"> Project Approval Date</t>
  </si>
  <si>
    <t>Project RMS Code</t>
  </si>
  <si>
    <t>ATTRIBUTE의 카테고리 정보</t>
  </si>
  <si>
    <t>Project Manager의 Comment 정보</t>
  </si>
  <si>
    <t>Project Contract Type 정보</t>
  </si>
  <si>
    <t>Project 'EPI' 대상 여부</t>
  </si>
  <si>
    <t>Project 주문 정보 생성 이력 정보</t>
  </si>
  <si>
    <t>Project 납기일</t>
  </si>
  <si>
    <t>Project Shipping Type</t>
  </si>
  <si>
    <t>Project Packing Type</t>
  </si>
  <si>
    <t>Project End User</t>
  </si>
  <si>
    <t>Project 하자보수 기간</t>
  </si>
  <si>
    <t>Project Failure Information</t>
  </si>
  <si>
    <t>Project Template 여부</t>
  </si>
  <si>
    <t>Project Template 의 Project_ID</t>
  </si>
  <si>
    <t>Project OU정보(법인 정보)</t>
  </si>
  <si>
    <t>Project 원천 정보</t>
  </si>
  <si>
    <t>Project 참조 정보</t>
  </si>
  <si>
    <t>Project 승인처리 과정 Code</t>
  </si>
  <si>
    <t>Project Tax Code 정보</t>
  </si>
  <si>
    <t>Project Template Currency Code</t>
  </si>
  <si>
    <t>Project Name( 일반적으로 사용되는 컬럼)</t>
  </si>
  <si>
    <t>"데이터명세서 PA_PROJECT_TYPES_ALL"  셋업된 정보</t>
  </si>
  <si>
    <t>"데이터 명세서 PA_PROJECT_STATUSES" 셋업된 정보</t>
  </si>
  <si>
    <t>업무적으로 Project Closing조건 만족 시 Closing처리시, 처리 Date 정보 저장</t>
  </si>
  <si>
    <t>YOC/YTC/YM =&gt; Hold 상태
 N/ Null =&gt; Hold 상태 X</t>
  </si>
  <si>
    <t xml:space="preserve"> Data 존재 하지 않음</t>
  </si>
  <si>
    <t xml:space="preserve">구매 업무 프로세스) 구매 조기 참여 Project 대상 </t>
  </si>
  <si>
    <t xml:space="preserve">Project Type 중 수출 Type(Local Export/Direct Export) 경우 필수 입력 필요 </t>
  </si>
  <si>
    <t xml:space="preserve">Project 등록은 Template을 Copy 하여 생성 구조.
'Y'는 Project Template을 의미, 'N'은 현업에서 등록한 Project 정보를 의미 </t>
  </si>
  <si>
    <t>RND' : 연구소사업계획-&gt; ERP I/F Project 
'PMS' : PMS -&gt; ERP I/F Project 
NULL : ERP 화면에서 등록한 Project</t>
  </si>
  <si>
    <t>Standard에서 생성된 부분으로써 "Project Name일부ProjectNo'형태로 Data 저장</t>
  </si>
  <si>
    <t>Workflow 라는 Oracle Standard 결재 라인 Process 전개 과정의 Code 정보</t>
  </si>
  <si>
    <t>Project 주문 정보 생성 시, Project 채권 발행 시 해당정보 사용 됨</t>
  </si>
  <si>
    <t>Project 계약 화폐 정보가 아님. Tempalte 셋업 된 Currency Code 
한국 법인 기준) Domestic -'KRW' / Local Export, Direct Export - 'USD' Fix되어 있음</t>
  </si>
  <si>
    <t>데이터 타입을 보시면 'VARCHAR2(3)'으로써 해당 컬럼에 Project Name 정보 모두 저장 할 수 없어서 'LONG_NAME' 컬럼이 실제 사용 되는 Project Name 정보</t>
  </si>
  <si>
    <t>NVARCHAR</t>
  </si>
  <si>
    <t>DATETIME</t>
  </si>
  <si>
    <t>FROM_DATE</t>
    <phoneticPr fontId="2" type="noConversion"/>
  </si>
  <si>
    <t>TO_DATE</t>
    <phoneticPr fontId="2" type="noConversion"/>
  </si>
  <si>
    <t>DATE</t>
    <phoneticPr fontId="2" type="noConversion"/>
  </si>
  <si>
    <t>Y</t>
    <phoneticPr fontId="2" type="noConversion"/>
  </si>
  <si>
    <t>From Date</t>
    <phoneticPr fontId="2" type="noConversion"/>
  </si>
  <si>
    <t>To Date</t>
    <phoneticPr fontId="2" type="noConversion"/>
  </si>
  <si>
    <t>YYYYMMDD</t>
    <phoneticPr fontId="2" type="noConversion"/>
  </si>
  <si>
    <t>CREATION_DATE</t>
    <phoneticPr fontId="2" type="noConversion"/>
  </si>
  <si>
    <t>LAST_UPDATE_DATE</t>
    <phoneticPr fontId="2" type="noConversion"/>
  </si>
  <si>
    <t>생성일</t>
    <phoneticPr fontId="2" type="noConversion"/>
  </si>
  <si>
    <t>수정일</t>
    <phoneticPr fontId="2" type="noConversion"/>
  </si>
  <si>
    <t>DATETIME</t>
    <phoneticPr fontId="2" type="noConversion"/>
  </si>
  <si>
    <t>21,0</t>
  </si>
  <si>
    <t>21,0</t>
    <phoneticPr fontId="2" type="noConversion"/>
  </si>
  <si>
    <t>DECIMAL</t>
    <phoneticPr fontId="2" type="noConversion"/>
  </si>
  <si>
    <t>IF_SRD_DPS_ERP_0010</t>
    <phoneticPr fontId="2" type="noConversion"/>
  </si>
  <si>
    <t>PA_PROJECTS_ALL</t>
    <phoneticPr fontId="2" type="noConversion"/>
  </si>
  <si>
    <t>SQL Query
(EAI 사용 쿼리)</t>
    <phoneticPr fontId="2" type="noConversion"/>
  </si>
  <si>
    <t>SELECT /*IF_SRD_DPS_ERP_0010 거래선 정보*/
    TO_CHAR(PROJECT_ID) AS PROJECT_ID
    ,NAME
    ,SEGMENT1
    ,LAST_UPDATE_DATE
    ,TO_CHAR(LAST_UPDATED_BY) AS LAST_UPDATED_BY
    ,CREATION_DATE
    ,TO_CHAR(CREATED_BY) AS CREATED_BY
    ,TO_CHAR(LAST_UPDATE_LOGIN) AS LAST_UPDATE_LOGIN
    ,PROJECT_TYPE
    ,TO_CHAR(CARRYING_OUT_ORGANIZATION_ID) AS CARRYING_OUT_ORGANIZATION_ID
    ,PUBLIC_SECTOR_FLAG
    ,PROJECT_STATUS_CODE
    ,DESCRIPTION
    ,START_DATE
    ,COMPLETION_DATE
    ,CLOSED_DATE
    ,DISTRIBUTION_RULE
    ,TO_CHAR(LABOR_INVOICE_FORMAT_ID) AS LABOR_INVOICE_FORMAT_ID
    ,TO_CHAR(NON_LABOR_INVOICE_FORMAT_ID) AS NON_LABOR_INVOICE_FORMAT_ID
    ,TO_CHAR(RETENTION_INVOICE_FORMAT_ID) AS RETENTION_INVOICE_FORMAT_ID
    ,TO_CHAR(RETENTION_PERCENTAGE) AS RETENTION_PERCENTAGE
    ,TO_CHAR(BILLING_OFFSET) AS BILLING_OFFSET
    ,TO_CHAR(BILLING_CYCLE) AS BILLING_CYCLE
    ,LABOR_STD_BILL_RATE_SCHDL
    ,TO_CHAR(LABOR_BILL_RATE_ORG_ID) AS LABOR_BILL_RATE_ORG_ID
    ,LABOR_SCHEDULE_FIXED_DATE
    ,TO_CHAR(LABOR_SCHEDULE_DISCOUNT) AS LABOR_SCHEDULE_DISCOUNT
    ,NON_LABOR_STD_BILL_RATE_SCHDL
    ,TO_CHAR(NON_LABOR_BILL_RATE_ORG_ID) AS NON_LABOR_BILL_RATE_ORG_ID
    ,NON_LABOR_SCHEDULE_FIXED_DATE
    ,TO_CHAR(NON_LABOR_SCHEDULE_DISCOUNT) AS NON_LABOR_SCHEDULE_DISCOUNT
    ,LIMIT_TO_TXN_CONTROLS_FLAG
    ,PROJECT_LEVEL_FUNDING_FLAG
    ,INVOICE_COMMENT
    ,TO_CHAR(UNBILLED_RECEIVABLE_DR) AS UNBILLED_RECEIVABLE_DR
    ,TO_CHAR(UNEARNED_REVENUE_CR) AS UNEARNED_REVENUE_CR
    ,TO_CHAR(REQUEST_ID) AS REQUEST_ID
    ,TO_CHAR(PROGRAM_ID) AS PROGRAM_ID
    ,TO_CHAR(PROGRAM_APPLICATION_ID) AS PROGRAM_APPLICATION_ID
    ,PROGRAM_UPDATE_DATE
    ,SUMMARY_FLAG
    ,ENABLED_FLAG
    ,SEGMENT2
    ,SEGMENT3
    ,SEGMENT4
    ,SEGMENT5
    ,SEGMENT6
    ,SEGMENT7
    ,SEGMENT8
    ,SEGMENT9
    ,SEGMENT10
    ,ATTRIBUTE_CATEGORY
    ,ATTRIBUTE1
    ,ATTRIBUTE2
    ,ATTRIBUTE3
    ,ATTRIBUTE4
    ,ATTRIBUTE5
    ,ATTRIBUTE6
    ,ATTRIBUTE7
    ,ATTRIBUTE8
    ,ATTRIBUTE9
    ,ATTRIBUTE10
    ,TO_CHAR(COST_IND_RATE_SCH_ID) AS COST_IND_RATE_SCH_ID
    ,TO_CHAR(REV_IND_RATE_SCH_ID) AS REV_IND_RATE_SCH_ID
    ,TO_CHAR(INV_IND_RATE_SCH_ID) AS INV_IND_RATE_SCH_ID
    ,COST_IND_SCH_FIXED_DATE
    ,REV_IND_SCH_FIXED_DATE
    ,INV_IND_SCH_FIXED_DATE
    ,LABOR_SCH_TYPE
    ,NON_LABOR_SCH_TYPE
    ,TO_CHAR(OVR_COST_IND_RATE_SCH_ID) AS OVR_COST_IND_RATE_SCH_ID
    ,TO_CHAR(OVR_REV_IND_RATE_SCH_ID) AS OVR_REV_IND_RATE_SCH_ID
    ,TO_CHAR(OVR_INV_IND_RATE_SCH_ID) AS OVR_INV_IND_RATE_SCH_ID
    ,TEMPLATE_FLAG
    ,VERIFICATION_DATE
    ,TO_CHAR(CREATED_FROM_PROJECT_ID) AS CREATED_FROM_PROJECT_ID
    ,TEMPLATE_START_DATE_ACTIVE
    ,TEMPLATE_END_DATE_ACTIVE
    ,TO_CHAR(ORG_ID) AS ORG_ID
    ,PM_PRODUCT_CODE
    ,PM_PROJECT_REFERENCE
    ,ACTUAL_START_DATE
    ,ACTUAL_FINISH_DATE
    ,EARLY_START_DATE
    ,EARLY_FINISH_DATE
    ,LATE_START_DATE
    ,LATE_FINISH_DATE
    ,SCHEDULED_START_DATE
    ,SCHEDULED_FINISH_DATE
    ,TO_CHAR(BILLING_CYCLE_ID) AS BILLING_CYCLE_ID
    ,ADW_NOTIFY_FLAG
    ,WF_STATUS_CODE
    ,OUTPUT_TAX_CODE
    ,RETENTION_TAX_CODE
    ,PROJECT_CURRENCY_CODE
    ,ALLOW_CROSS_CHARGE_FLAG
    ,PROJECT_RATE_DATE
    ,PROJECT_RATE_TYPE
    ,CC_PROCESS_LABOR_FLAG
    ,TO_CHAR(LABOR_TP_SCHEDULE_ID) AS LABOR_TP_SCHEDULE_ID
    ,LABOR_TP_FIXED_DATE
    ,CC_PROCESS_NL_FLAG
    ,TO_CHAR(NL_TP_SCHEDULE_ID) AS NL_TP_SCHEDULE_ID
    ,NL_TP_FIXED_DATE
    ,TO_CHAR(CC_TAX_TASK_ID) AS CC_TAX_TASK_ID
    ,TO_CHAR(BILL_JOB_GROUP_ID) AS BILL_JOB_GROUP_ID
    ,TO_CHAR(COST_JOB_GROUP_ID) AS COST_JOB_GROUP_ID
    ,TO_CHAR(ROLE_LIST_ID) AS ROLE_LIST_ID
    ,TO_CHAR(WORK_TYPE_ID) AS WORK_TYPE_ID
    ,TO_CHAR(CALENDAR_ID) AS CALENDAR_ID
    ,TO_CHAR(LOCATION_ID) AS LOCATION_ID
    ,TO_CHAR(PROBABILITY_MEMBER_ID) AS PROBABILITY_MEMBER_ID
    ,TO_CHAR(PROJECT_VALUE) AS PROJECT_VALUE
    ,EXPECTED_APPROVAL_DATE
    ,TO_CHAR(RECORD_VERSION_NUMBER) AS RECORD_VERSION_NUMBER
    ,TO_CHAR(INITIAL_TEAM_TEMPLATE_ID) AS INITIAL_TEAM_TEMPLATE_ID
    ,TO_CHAR(JOB_BILL_RATE_SCHEDULE_ID) AS JOB_BILL_RATE_SCHEDULE_ID
    ,TO_CHAR(EMP_BILL_RATE_SCHEDULE_ID) AS EMP_BILL_RATE_SCHEDULE_ID
    ,TO_CHAR(COMPETENCE_MATCH_WT) AS COMPETENCE_MATCH_WT
    ,TO_CHAR(AVAILABILITY_MATCH_WT) AS AVAILABILITY_MATCH_WT
    ,TO_CHAR(JOB_LEVEL_MATCH_WT) AS JOB_LEVEL_MATCH_WT
    ,ENABLE_AUTOMATED_SEARCH
    ,TO_CHAR(SEARCH_MIN_AVAILABILITY) AS SEARCH_MIN_AVAILABILITY
    ,TO_CHAR(SEARCH_ORG_HIER_ID) AS SEARCH_ORG_HIER_ID
    ,TO_CHAR(SEARCH_STARTING_ORG_ID) AS SEARCH_STARTING_ORG_ID
    ,SEARCH_COUNTRY_CODE
    ,TO_CHAR(MIN_CAND_SCORE_REQD_FOR_NOM) AS MIN_CAND_SCORE_REQD_FOR_NOM
    ,TO_CHAR(NON_LAB_STD_BILL_RT_SCH_ID) AS NON_LAB_STD_BILL_RT_SCH_ID
    ,INVPROC_CURRENCY_TYPE
    ,REVPROC_CURRENCY_CODE
    ,PROJECT_BIL_RATE_DATE_CODE
    ,PROJECT_BIL_RATE_TYPE
    ,PROJECT_BIL_RATE_DATE
    ,TO_CHAR(PROJECT_BIL_EXCHANGE_RATE) AS PROJECT_BIL_EXCHANGE_RATE
    ,PROJFUNC_CURRENCY_CODE
    ,PROJFUNC_BIL_RATE_DATE_CODE
    ,PROJFUNC_BIL_RATE_TYPE
    ,PROJFUNC_BIL_RATE_DATE
    ,TO_CHAR(PROJFUNC_BIL_EXCHANGE_RATE) AS PROJFUNC_BIL_EXCHANGE_RATE
    ,FUNDING_RATE_DATE_CODE
    ,FUNDING_RATE_TYPE
    ,FUNDING_RATE_DATE
    ,TO_CHAR(FUNDING_EXCHANGE_RATE) AS FUNDING_EXCHANGE_RATE
    ,BASELINE_FUNDING_FLAG
    ,PROJFUNC_COST_RATE_TYPE
    ,PROJFUNC_COST_RATE_DATE
    ,INV_BY_BILL_TRANS_CURR_FLAG
    ,MULTI_CURRENCY_BILLING_FLAG
    ,SPLIT_COST_FROM_WORKPLAN_FLAG
    ,SPLIT_COST_FROM_BILL_FLAG
    ,ASSIGN_PRECEDES_TASK
    ,PRIORITY_CODE
    ,TO_CHAR(RETN_BILLING_INV_FORMAT_ID) AS RETN_BILLING_INV_FORMAT_ID
    ,RETN_ACCOUNTING_FLAG
    ,TO_CHAR(ADV_ACTION_SET_ID) AS ADV_ACTION_SET_ID
    ,START_ADV_ACTION_SET_FLAG
    ,REVALUATE_FUNDING_FLAG
    ,INCLUDE_GAINS_LOSSES_FLAG
    ,TARGET_START_DATE
    ,TARGET_FINISH_DATE
    ,BASELINE_START_DATE
    ,BASELINE_FINISH_DATE
    ,SCHEDULED_AS_OF_DATE
    ,BASELINE_AS_OF_DATE
    ,LABOR_DISC_REASON_CODE
    ,NON_LABOR_DISC_REASON_CODE
    ,TO_CHAR(SECURITY_LEVEL) AS SECURITY_LEVEL
    ,ACTUAL_AS_OF_DATE
    ,TO_CHAR(SCHEDULED_DURATION) AS SCHEDULED_DURATION
    ,TO_CHAR(BASELINE_DURATION) AS BASELINE_DURATION
    ,TO_CHAR(ACTUAL_DURATION) AS ACTUAL_DURATION
    ,LONG_NAME
    ,BTC_COST_BASE_REV_CODE
    ,ASSET_ALLOCATION_METHOD
    ,CAPITAL_EVENT_PROCESSING
    ,TO_CHAR(CINT_RATE_SCH_ID) AS CINT_RATE_SCH_ID
    ,CINT_ELIGIBLE_FLAG
    ,CINT_STOP_DATE
    ,SYS_PROGRAM_FLAG
    ,STRUCTURE_SHARING_CODE
    ,ENABLE_TOP_TASK_CUSTOMER_FLAG
    ,ENABLE_TOP_TASK_INV_MTH_FLAG
    ,REVENUE_ACCRUAL_METHOD
    ,INVOICE_METHOD
    ,PROJFUNC_ATTR_FOR_AR_FLAG
    ,PJI_SOURCE_FLAG
    ,ALLOW_MULTI_PROGRAM_ROLLUP
    ,TO_CHAR(PROJ_REQ_RES_FORMAT_ID) AS PROJ_REQ_RES_FORMAT_ID
    ,TO_CHAR(PROJ_ASGMT_RES_FORMAT_ID) AS PROJ_ASGMT_RES_FORMAT_ID
    ,FUNDING_APPROVAL_STATUS_CODE
    ,REVTRANS_CURRENCY_TYPE
FROM APPS.PA_PROJECTS_ALL
WHERE (CREATION_DATE &gt;= NVL(&amp;FROM_DATE,TRUNC(SYSDATE-1)) AND CREATION_DATE &lt; NVL(&amp;TO_DATE,TRUNC(SYSDATE)))
   OR (LAST_UPDATE_DATE &gt;= NVL(&amp;FROM_DATE,TRUNC(SYSDATE-1)) AND LAST_UPDATE_DATE &lt; NVL(&amp;TO_DATE,TRUNC(SYSDATE)))</t>
    <phoneticPr fontId="2" type="noConversion"/>
  </si>
  <si>
    <t>S1</t>
    <phoneticPr fontId="2" type="noConversion"/>
  </si>
  <si>
    <t>S2</t>
    <phoneticPr fontId="2" type="noConversion"/>
  </si>
  <si>
    <t>R1</t>
    <phoneticPr fontId="2" type="noConversion"/>
  </si>
  <si>
    <t>프로젝트 정보</t>
    <phoneticPr fontId="2" type="noConversion"/>
  </si>
  <si>
    <t>구다환</t>
    <phoneticPr fontId="2" type="noConversion"/>
  </si>
  <si>
    <t>구다환</t>
    <phoneticPr fontId="4" type="noConversion"/>
  </si>
  <si>
    <t>SELECT    PROJECT_ID
     ,    NAME
     ,    SEGMENT1
     ,    LAST_UPDATE_DATE
     ,    LAST_UPDATED_BY
     ,    CREATION_DATE
     ,    CREATED_BY
     ,    LAST_UPDATE_LOGIN
     ,    PROJECT_TYPE
     ,    CARRYING_OUT_ORGANIZATION_ID
     ,    PUBLIC_SECTOR_FLAG
     ,    PROJECT_STATUS_CODE
     ,    DESCRIPTION
     ,    START_DATE
     ,    COMPLETION_DATE
     ,    CLOSED_DATE
     ,    DISTRIBUTION_RULE
     ,    LABOR_INVOICE_FORMAT_ID
     ,    NON_LABOR_INVOICE_FORMAT_ID
     ,    RETENTION_INVOICE_FORMAT_ID
     ,    RETENTION_PERCENTAGE
     ,    BILLING_OFFSET
     ,    BILLING_CYCLE
     ,    LABOR_STD_BILL_RATE_SCHDL
     ,    LABOR_BILL_RATE_ORG_ID
     ,    LABOR_SCHEDULE_FIXED_DATE
     ,    LABOR_SCHEDULE_DISCOUNT
     ,    NON_LABOR_STD_BILL_RATE_SCHDL
     ,    NON_LABOR_BILL_RATE_ORG_ID
     ,    NON_LABOR_SCHEDULE_FIXED_DATE
     ,    NON_LABOR_SCHEDULE_DISCOUNT
     ,    LIMIT_TO_TXN_CONTROLS_FLAG
     ,    PROJECT_LEVEL_FUNDING_FLAG
     ,    INVOICE_COMMENT
     ,    UNBILLED_RECEIVABLE_DR
     ,    UNEARNED_REVENUE_CR
     ,    REQUEST_ID
     ,    PROGRAM_ID
     ,    PROGRAM_APPLICATION_ID
     ,    PROGRAM_UPDATE_DATE
     ,    SUMMARY_FLAG
     ,    ENABLED_FLAG
     ,    SEGMENT2
     ,    SEGMENT3
     ,    SEGMENT4
     ,    SEGMENT5
     ,    SEGMENT6
     ,    SEGMENT7
     ,    SEGMENT8
     ,    SEGMENT9
     ,    SEGMENT10
     ,    ATTRIBUTE_CATEGORY
     ,    ATTRIBUTE1
     ,    ATTRIBUTE2
     ,    ATTRIBUTE3
     ,    ATTRIBUTE4
     ,    ATTRIBUTE5
     ,    ATTRIBUTE6
     ,    ATTRIBUTE7
     ,    ATTRIBUTE8
     ,    ATTRIBUTE9
     ,    ATTRIBUTE10
     ,    COST_IND_RATE_SCH_ID
     ,    REV_IND_RATE_SCH_ID
     ,    INV_IND_RATE_SCH_ID
     ,    COST_IND_SCH_FIXED_DATE
     ,    REV_IND_SCH_FIXED_DATE
     ,    INV_IND_SCH_FIXED_DATE
     ,    LABOR_SCH_TYPE
     ,    NON_LABOR_SCH_TYPE
     ,    OVR_COST_IND_RATE_SCH_ID
     ,    OVR_REV_IND_RATE_SCH_ID
     ,    OVR_INV_IND_RATE_SCH_ID
     ,    TEMPLATE_FLAG
     ,    VERIFICATION_DATE
     ,    CREATED_FROM_PROJECT_ID
     ,    TEMPLATE_START_DATE_ACTIVE
     ,    TEMPLATE_END_DATE_ACTIVE
     ,    ORG_ID
     ,    PM_PRODUCT_CODE
     ,    PM_PROJECT_REFERENCE
     ,    ACTUAL_START_DATE
     ,    ACTUAL_FINISH_DATE
     ,    EARLY_START_DATE
     ,    EARLY_FINISH_DATE
     ,    LATE_START_DATE
     ,    LATE_FINISH_DATE
     ,    SCHEDULED_START_DATE
     ,    SCHEDULED_FINISH_DATE
     ,    BILLING_CYCLE_ID
     ,    ADW_NOTIFY_FLAG
     ,    WF_STATUS_CODE
     ,    OUTPUT_TAX_CODE
     ,    RETENTION_TAX_CODE
     ,    PROJECT_CURRENCY_CODE
     ,    ALLOW_CROSS_CHARGE_FLAG
     ,    PROJECT_RATE_DATE        
     ,    PROJECT_RATE_TYPE
     ,    CC_PROCESS_LABOR_FLAG
     ,    LABOR_TP_SCHEDULE_ID
     ,    LABOR_TP_FIXED_DATE
     ,    CC_PROCESS_NL_FLAG
     ,    NL_TP_SCHEDULE_ID
     ,    NL_TP_FIXED_DATE
     ,    CC_TAX_TASK_ID
     ,    BILL_JOB_GROUP_ID
     ,    COST_JOB_GROUP_ID
     ,    ROLE_LIST_ID
     ,    WORK_TYPE_ID
     ,    CALENDAR_ID
     ,    LOCATION_ID
     ,    PROBABILITY_MEMBER_ID
     ,    PROJECT_VALUE
     ,    EXPECTED_APPROVAL_DATE
     ,    RECORD_VERSION_NUMBER
     ,    INITIAL_TEAM_TEMPLATE_ID
     ,    JOB_BILL_RATE_SCHEDULE_ID
     ,    EMP_BILL_RATE_SCHEDULE_ID
     ,    COMPETENCE_MATCH_WT
     ,    AVAILABILITY_MATCH_WT
     ,    JOB_LEVEL_MATCH_WT
     ,    ENABLE_AUTOMATED_SEARCH
     ,    SEARCH_MIN_AVAILABILITY
     ,    SEARCH_ORG_HIER_ID
     ,    SEARCH_STARTING_ORG_ID
     ,    SEARCH_COUNTRY_CODE
     ,    MIN_CAND_SCORE_REQD_FOR_NOM
     ,    NON_LAB_STD_BILL_RT_SCH_ID
     ,    INVPROC_CURRENCY_TYPE
     ,    REVPROC_CURRENCY_CODE
     ,    PROJECT_BIL_RATE_DATE_CODE
     ,    PROJECT_BIL_RATE_TYPE
     ,    PROJECT_BIL_RATE_DATE
     ,    PROJECT_BIL_EXCHANGE_RATE
     ,    PROJFUNC_CURRENCY_CODE
     ,    PROJFUNC_BIL_RATE_DATE_CODE
     ,    PROJFUNC_BIL_RATE_TYPE
     ,    PROJFUNC_BIL_RATE_DATE
     ,    PROJFUNC_BIL_EXCHANGE_RATE
     ,    FUNDING_RATE_DATE_CODE
     ,    FUNDING_RATE_TYPE
     ,    FUNDING_RATE_DATE
     ,    FUNDING_EXCHANGE_RATE
     ,    BASELINE_FUNDING_FLAG
     ,    PROJFUNC_COST_RATE_TYPE
     ,    PROJFUNC_COST_RATE_DATE
     ,    INV_BY_BILL_TRANS_CURR_FLAG
     ,    MULTI_CURRENCY_BILLING_FLAG
     ,    SPLIT_COST_FROM_WORKPLAN_FLAG
     ,    SPLIT_COST_FROM_BILL_FLAG
     ,    ASSIGN_PRECEDES_TASK
     ,    PRIORITY_CODE
     ,    RETN_BILLING_INV_FORMAT_ID
     ,    RETN_ACCOUNTING_FLAG
     ,    ADV_ACTION_SET_ID
     ,    START_ADV_ACTION_SET_FLAG
     ,    REVALUATE_FUNDING_FLAG
     ,    INCLUDE_GAINS_LOSSES_FLAG
     ,    TARGET_START_DATE
     ,    TARGET_FINISH_DATE
     ,    BASELINE_START_DATE
     ,    BASELINE_FINISH_DATE
     ,    SCHEDULED_AS_OF_DATE
     ,    BASELINE_AS_OF_DATE
     ,    LABOR_DISC_REASON_CODE
     ,    NON_LABOR_DISC_REASON_CODE
     ,    SECURITY_LEVEL
     ,    ACTUAL_AS_OF_DATE
     ,    SCHEDULED_DURATION
     ,    BASELINE_DURATION
     ,    ACTUAL_DURATION
     ,    LONG_NAME
     ,    BTC_COST_BASE_REV_CODE
     ,    ASSET_ALLOCATION_METHOD
     ,    CAPITAL_EVENT_PROCESSING
     ,    CINT_RATE_SCH_ID
     ,    CINT_ELIGIBLE_FLAG
     ,    CINT_STOP_DATE
     ,    SYS_PROGRAM_FLAG
     ,    STRUCTURE_SHARING_CODE
     ,    ENABLE_TOP_TASK_CUSTOMER_FLAG
     ,    ENABLE_TOP_TASK_INV_MTH_FLAG
     ,    REVENUE_ACCRUAL_METHOD
     ,    INVOICE_METHOD
     ,    PROJFUNC_ATTR_FOR_AR_FLAG
     ,    PJI_SOURCE_FLAG
     ,    ALLOW_MULTI_PROGRAM_ROLLUP
     ,    PROJ_REQ_RES_FORMAT_ID
     ,    PROJ_ASGMT_RES_FORMAT_ID
     ,    FUNDING_APPROVAL_STATUS_CODE
     ,    REVTRANS_CURRENCY_TYPE
  FROM    PA_PROJECTS_ALL
 WHERE   (CREATION_DATE &gt;= nvl(&amp;from_date,trunc(sysdate-1,'mm')) AND CREATION_DATE &lt; nvl(&amp;to_date,add_months(trunc(SYSDATE-1,'MM'),1)))
   OR     (LAST_UPDATE_DATE &gt;= nvl(&amp;from_date,trunc(sysdate-1,'mm')) AND LAST_UPDATE_DATE &lt; nvl(&amp;to_date,add_months(trunc(SYSDATE-1,'MM'),1)))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</si>
  <si>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</si>
  <si>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</si>
  <si>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</si>
  <si>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</si>
  <si>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</si>
  <si>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</si>
  <si>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</si>
  <si>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</si>
  <si>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</si>
  <si>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</si>
  <si>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</si>
  <si>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</si>
  <si>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</si>
  <si>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</si>
  <si>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</si>
  <si>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</si>
  <si>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</si>
  <si>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</si>
  <si>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</si>
  <si>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</si>
  <si>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프로젝트 정보</t>
    <phoneticPr fontId="2" type="noConversion"/>
  </si>
  <si>
    <t>R2</t>
    <phoneticPr fontId="2" type="noConversion"/>
  </si>
  <si>
    <t>R3</t>
    <phoneticPr fontId="2" type="noConversion"/>
  </si>
  <si>
    <t>SQL Query
(EAI 사용 쿼리)
수정 최종</t>
    <phoneticPr fontId="2" type="noConversion"/>
  </si>
  <si>
    <t>SELECT /*IF_SRD_DPS_ERP_0010 프로젝트정보(PA_PROJECTS_ALL)*/
    TO_CHAR(PROJECT_ID) AS PROJECT_ID
    ,NAME
    ,SEGMENT1
    ,LAST_UPDATE_DATE
    ,TO_CHAR(LAST_UPDATED_BY) AS LAST_UPDATED_BY
    ,CREATION_DATE
    ,TO_CHAR(CREATED_BY) AS CREATED_BY
    ,TO_CHAR(LAST_UPDATE_LOGIN) AS LAST_UPDATE_LOGIN
    ,PROJECT_TYPE
    ,TO_CHAR(CARRYING_OUT_ORGANIZATION_ID) AS CARRYING_OUT_ORGANIZATION_ID
    ,PUBLIC_SECTOR_FLAG
    ,PROJECT_STATUS_CODE
    ,DESCRIPTION
    ,START_DATE
    ,COMPLETION_DATE
    ,CLOSED_DATE
    ,DISTRIBUTION_RULE
    ,TO_CHAR(LABOR_INVOICE_FORMAT_ID) AS LABOR_INVOICE_FORMAT_ID
    ,TO_CHAR(NON_LABOR_INVOICE_FORMAT_ID) AS NON_LABOR_INVOICE_FORMAT_ID
    ,TO_CHAR(RETENTION_INVOICE_FORMAT_ID) AS RETENTION_INVOICE_FORMAT_ID
    ,TO_CHAR(RETENTION_PERCENTAGE) AS RETENTION_PERCENTAGE
    ,TO_CHAR(BILLING_OFFSET) AS BILLING_OFFSET
    ,TO_CHAR(BILLING_CYCLE) AS BILLING_CYCLE
    ,LABOR_STD_BILL_RATE_SCHDL
    ,TO_CHAR(LABOR_BILL_RATE_ORG_ID) AS LABOR_BILL_RATE_ORG_ID
    ,LABOR_SCHEDULE_FIXED_DATE
    ,TO_CHAR(LABOR_SCHEDULE_DISCOUNT) AS LABOR_SCHEDULE_DISCOUNT
    ,NON_LABOR_STD_BILL_RATE_SCHDL
    ,TO_CHAR(NON_LABOR_BILL_RATE_ORG_ID) AS NON_LABOR_BILL_RATE_ORG_ID
    ,NON_LABOR_SCHEDULE_FIXED_DATE
    ,TO_CHAR(NON_LABOR_SCHEDULE_DISCOUNT) AS NON_LABOR_SCHEDULE_DISCOUNT
    ,LIMIT_TO_TXN_CONTROLS_FLAG
    ,PROJECT_LEVEL_FUNDING_FLAG
    ,INVOICE_COMMENT
    ,TO_CHAR(UNBILLED_RECEIVABLE_DR) AS UNBILLED_RECEIVABLE_DR
    ,TO_CHAR(UNEARNED_REVENUE_CR) AS UNEARNED_REVENUE_CR
    ,TO_CHAR(REQUEST_ID) AS REQUEST_ID
    ,TO_CHAR(PROGRAM_ID) AS PROGRAM_ID
    ,TO_CHAR(PROGRAM_APPLICATION_ID) AS PROGRAM_APPLICATION_ID
    ,PROGRAM_UPDATE_DATE
    ,SUMMARY_FLAG
    ,ENABLED_FLAG
    ,SEGMENT2
    ,SEGMENT3
    ,SEGMENT4
    ,SEGMENT5
    ,SEGMENT6
    ,SEGMENT7
    ,SEGMENT8
    ,SEGMENT9
    ,SEGMENT10
    ,ATTRIBUTE_CATEGORY
    ,ATTRIBUTE1
    ,ATTRIBUTE2
    ,ATTRIBUTE3
    ,ATTRIBUTE4
    ,ATTRIBUTE5
    ,ATTRIBUTE6
    ,ATTRIBUTE7
    ,ATTRIBUTE8
    ,ATTRIBUTE9
    ,ATTRIBUTE10
    ,TO_CHAR(COST_IND_RATE_SCH_ID) AS COST_IND_RATE_SCH_ID
    ,TO_CHAR(REV_IND_RATE_SCH_ID) AS REV_IND_RATE_SCH_ID
    ,TO_CHAR(INV_IND_RATE_SCH_ID) AS INV_IND_RATE_SCH_ID
    ,COST_IND_SCH_FIXED_DATE
    ,REV_IND_SCH_FIXED_DATE
    ,INV_IND_SCH_FIXED_DATE
    ,LABOR_SCH_TYPE
    ,NON_LABOR_SCH_TYPE
    ,TO_CHAR(OVR_COST_IND_RATE_SCH_ID) AS OVR_COST_IND_RATE_SCH_ID
    ,TO_CHAR(OVR_REV_IND_RATE_SCH_ID) AS OVR_REV_IND_RATE_SCH_ID
    ,TO_CHAR(OVR_INV_IND_RATE_SCH_ID) AS OVR_INV_IND_RATE_SCH_ID
    ,TEMPLATE_FLAG
    ,VERIFICATION_DATE
    ,TO_CHAR(CREATED_FROM_PROJECT_ID) AS CREATED_FROM_PROJECT_ID
    ,TEMPLATE_START_DATE_ACTIVE
    ,TEMPLATE_END_DATE_ACTIVE
    ,TO_CHAR(ORG_ID) AS ORG_ID
    ,PM_PRODUCT_CODE
    ,PM_PROJECT_REFERENCE
    ,ACTUAL_START_DATE
    ,ACTUAL_FINISH_DATE
    ,EARLY_START_DATE
    ,EARLY_FINISH_DATE
    ,LATE_START_DATE
    ,LATE_FINISH_DATE
    ,SCHEDULED_START_DATE
    ,SCHEDULED_FINISH_DATE
    ,TO_CHAR(BILLING_CYCLE_ID) AS BILLING_CYCLE_ID
    ,ADW_NOTIFY_FLAG
    ,WF_STATUS_CODE
    ,OUTPUT_TAX_CODE
    ,RETENTION_TAX_CODE
    ,PROJECT_CURRENCY_CODE
    ,ALLOW_CROSS_CHARGE_FLAG
    ,PROJECT_RATE_DATE
    ,PROJECT_RATE_TYPE
    ,CC_PROCESS_LABOR_FLAG
    ,TO_CHAR(LABOR_TP_SCHEDULE_ID) AS LABOR_TP_SCHEDULE_ID
    ,LABOR_TP_FIXED_DATE
    ,CC_PROCESS_NL_FLAG
    ,TO_CHAR(NL_TP_SCHEDULE_ID) AS NL_TP_SCHEDULE_ID
    ,NL_TP_FIXED_DATE
    ,TO_CHAR(CC_TAX_TASK_ID) AS CC_TAX_TASK_ID
    ,TO_CHAR(BILL_JOB_GROUP_ID) AS BILL_JOB_GROUP_ID
    ,TO_CHAR(COST_JOB_GROUP_ID) AS COST_JOB_GROUP_ID
    ,TO_CHAR(ROLE_LIST_ID) AS ROLE_LIST_ID
    ,TO_CHAR(WORK_TYPE_ID) AS WORK_TYPE_ID
    ,TO_CHAR(CALENDAR_ID) AS CALENDAR_ID
    ,TO_CHAR(LOCATION_ID) AS LOCATION_ID
    ,TO_CHAR(PROBABILITY_MEMBER_ID) AS PROBABILITY_MEMBER_ID
    ,TO_CHAR(PROJECT_VALUE) AS PROJECT_VALUE
    ,EXPECTED_APPROVAL_DATE
    ,TO_CHAR(RECORD_VERSION_NUMBER) AS RECORD_VERSION_NUMBER
    ,TO_CHAR(INITIAL_TEAM_TEMPLATE_ID) AS INITIAL_TEAM_TEMPLATE_ID
    ,TO_CHAR(JOB_BILL_RATE_SCHEDULE_ID) AS JOB_BILL_RATE_SCHEDULE_ID
    ,TO_CHAR(EMP_BILL_RATE_SCHEDULE_ID) AS EMP_BILL_RATE_SCHEDULE_ID
    ,TO_CHAR(COMPETENCE_MATCH_WT) AS COMPETENCE_MATCH_WT
    ,TO_CHAR(AVAILABILITY_MATCH_WT) AS AVAILABILITY_MATCH_WT
    ,TO_CHAR(JOB_LEVEL_MATCH_WT) AS JOB_LEVEL_MATCH_WT
    ,ENABLE_AUTOMATED_SEARCH
    ,TO_CHAR(SEARCH_MIN_AVAILABILITY) AS SEARCH_MIN_AVAILABILITY
    ,TO_CHAR(SEARCH_ORG_HIER_ID) AS SEARCH_ORG_HIER_ID
    ,TO_CHAR(SEARCH_STARTING_ORG_ID) AS SEARCH_STARTING_ORG_ID
    ,SEARCH_COUNTRY_CODE
    ,TO_CHAR(MIN_CAND_SCORE_REQD_FOR_NOM) AS MIN_CAND_SCORE_REQD_FOR_NOM
    ,TO_CHAR(NON_LAB_STD_BILL_RT_SCH_ID) AS NON_LAB_STD_BILL_RT_SCH_ID
    ,INVPROC_CURRENCY_TYPE
    ,REVPROC_CURRENCY_CODE
    ,PROJECT_BIL_RATE_DATE_CODE
    ,PROJECT_BIL_RATE_TYPE
    ,PROJECT_BIL_RATE_DATE
    ,TO_CHAR(PROJECT_BIL_EXCHANGE_RATE) AS PROJECT_BIL_EXCHANGE_RATE
    ,PROJFUNC_CURRENCY_CODE
    ,PROJFUNC_BIL_RATE_DATE_CODE
    ,PROJFUNC_BIL_RATE_TYPE
    ,PROJFUNC_BIL_RATE_DATE
    ,TO_CHAR(PROJFUNC_BIL_EXCHANGE_RATE) AS PROJFUNC_BIL_EXCHANGE_RATE
    ,FUNDING_RATE_DATE_CODE
    ,FUNDING_RATE_TYPE
    ,FUNDING_RATE_DATE
    ,TO_CHAR(FUNDING_EXCHANGE_RATE) AS FUNDING_EXCHANGE_RATE
    ,BASELINE_FUNDING_FLAG
    ,PROJFUNC_COST_RATE_TYPE
    ,PROJFUNC_COST_RATE_DATE
    ,INV_BY_BILL_TRANS_CURR_FLAG
    ,MULTI_CURRENCY_BILLING_FLAG
    ,SPLIT_COST_FROM_WORKPLAN_FLAG
    ,SPLIT_COST_FROM_BILL_FLAG
    ,ASSIGN_PRECEDES_TASK
    ,PRIORITY_CODE
    ,TO_CHAR(RETN_BILLING_INV_FORMAT_ID) AS RETN_BILLING_INV_FORMAT_ID
    ,RETN_ACCOUNTING_FLAG
    ,TO_CHAR(ADV_ACTION_SET_ID) AS ADV_ACTION_SET_ID
    ,START_ADV_ACTION_SET_FLAG
    ,REVALUATE_FUNDING_FLAG
    ,INCLUDE_GAINS_LOSSES_FLAG
    ,TARGET_START_DATE
    ,TARGET_FINISH_DATE
    ,BASELINE_START_DATE
    ,BASELINE_FINISH_DATE
    ,SCHEDULED_AS_OF_DATE
    ,BASELINE_AS_OF_DATE
    ,LABOR_DISC_REASON_CODE
    ,NON_LABOR_DISC_REASON_CODE
    ,TO_CHAR(SECURITY_LEVEL) AS SECURITY_LEVEL
    ,ACTUAL_AS_OF_DATE
    ,TO_CHAR(SCHEDULED_DURATION) AS SCHEDULED_DURATION
    ,TO_CHAR(BASELINE_DURATION) AS BASELINE_DURATION
    ,TO_CHAR(ACTUAL_DURATION) AS ACTUAL_DURATION
    ,LONG_NAME
    ,BTC_COST_BASE_REV_CODE
    ,ASSET_ALLOCATION_METHOD
    ,CAPITAL_EVENT_PROCESSING
    ,TO_CHAR(CINT_RATE_SCH_ID) AS CINT_RATE_SCH_ID
    ,CINT_ELIGIBLE_FLAG
    ,CINT_STOP_DATE
    ,SYS_PROGRAM_FLAG
    ,STRUCTURE_SHARING_CODE
    ,ENABLE_TOP_TASK_CUSTOMER_FLAG
    ,ENABLE_TOP_TASK_INV_MTH_FLAG
    ,REVENUE_ACCRUAL_METHOD
    ,INVOICE_METHOD
    ,PROJFUNC_ATTR_FOR_AR_FLAG
    ,PJI_SOURCE_FLAG
    ,ALLOW_MULTI_PROGRAM_ROLLUP
    ,TO_CHAR(PROJ_REQ_RES_FORMAT_ID) AS PROJ_REQ_RES_FORMAT_ID
    ,TO_CHAR(PROJ_ASGMT_RES_FORMAT_ID) AS PROJ_ASGMT_RES_FORMAT_ID
    ,FUNDING_APPROVAL_STATUS_CODE
    ,REVTRANS_CURRENCY_TYPE
FROM APPS.PA_PROJECTS_ALL
WHERE (CREATION_DATE &gt;= nvl(TO_DATE(?,'YYYYMMDD'),trunc(sysdate-1,'MM')) AND CREATION_DATE &lt; nvl(TO_DATE(?,'YYYYMMDD'),add_months(trunc(SYSDATE-1,'MM'),1)))
   OR (LAST_UPDATE_DATE &gt;= nvl(TO_DATE(?,'YYYYMMDD'),trunc(sysdate-1,'MM')) AND LAST_UPDATE_DATE &lt; nvl(TO_DATE(?,'YYYYMMDD'),add_months(trunc(SYSDATE-1,'MM'),1)))</t>
    <phoneticPr fontId="2" type="noConversion"/>
  </si>
  <si>
    <t>2022.08.01</t>
    <phoneticPr fontId="2" type="noConversion"/>
  </si>
  <si>
    <t>2022.08.31</t>
    <phoneticPr fontId="2" type="noConversion"/>
  </si>
  <si>
    <t>쿼리 수정 및 DPS 프로시져 추가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</si>
</sst>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"/>
  </numFmts>
  <fonts count="30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7" fillId="0" borderId="0" applyNumberFormat="0" applyFill="0" applyBorder="0" applyAlignment="0" applyProtection="0">
      <alignment vertical="center"/>
    </xf>
  </cellStyleXfs>
  <cellXfs count="148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1" xfId="0" applyFont="1" applyBorder="1">
      <alignment vertical="center"/>
    </xf>
    <xf numFmtId="0" fontId="9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9" fillId="0" borderId="1" xfId="0" applyFont="1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left" vertical="center" wrapText="1"/>
    </xf>
    <xf numFmtId="0" fontId="9" fillId="2" borderId="1" xfId="0" quotePrefix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/>
    <xf numFmtId="0" fontId="14" fillId="0" borderId="1" xfId="0" applyFont="1" applyBorder="1" applyAlignment="1">
      <alignment horizontal="left" vertical="center"/>
    </xf>
    <xf numFmtId="0" fontId="25" fillId="8" borderId="1" xfId="6" applyFont="1" applyFill="1" applyBorder="1" applyAlignment="1">
      <alignment vertical="center"/>
    </xf>
    <xf numFmtId="0" fontId="26" fillId="0" borderId="1" xfId="6" applyFont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1" xfId="0" applyFont="1" applyBorder="1" applyAlignment="1">
      <alignment horizontal="left" vertical="center" wrapText="1"/>
    </xf>
    <xf numFmtId="0" fontId="0" fillId="0" borderId="31" xfId="0" applyBorder="1" applyAlignment="1"/>
    <xf numFmtId="0" fontId="24" fillId="2" borderId="31" xfId="0" quotePrefix="1" applyFont="1" applyFill="1" applyBorder="1" applyAlignment="1">
      <alignment horizontal="left" vertical="center" wrapText="1"/>
    </xf>
    <xf numFmtId="0" fontId="9" fillId="0" borderId="31" xfId="0" quotePrefix="1" applyFont="1" applyBorder="1" applyAlignment="1">
      <alignment horizontal="left" vertical="center"/>
    </xf>
    <xf numFmtId="0" fontId="9" fillId="0" borderId="33" xfId="0" applyFont="1" applyBorder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5" fillId="0" borderId="15" xfId="0" applyFont="1" applyBorder="1">
      <alignment vertical="center"/>
    </xf>
    <xf numFmtId="0" fontId="12" fillId="2" borderId="1" xfId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9" fillId="9" borderId="31" xfId="0" applyFont="1" applyFill="1" applyBorder="1" applyAlignment="1">
      <alignment vertical="center" wrapText="1"/>
    </xf>
    <xf numFmtId="0" fontId="26" fillId="0" borderId="1" xfId="6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7" fillId="6" borderId="35" xfId="0" applyFont="1" applyFill="1" applyBorder="1" applyAlignment="1">
      <alignment horizontal="center" vertical="center" wrapText="1"/>
    </xf>
    <xf numFmtId="0" fontId="10" fillId="2" borderId="35" xfId="1" applyFont="1" applyFill="1" applyBorder="1" applyAlignment="1">
      <alignment horizontal="center" vertical="center" wrapText="1"/>
    </xf>
    <xf numFmtId="0" fontId="21" fillId="5" borderId="36" xfId="1" applyFont="1" applyFill="1" applyBorder="1" applyAlignment="1">
      <alignment horizontal="center" vertical="center" wrapText="1"/>
    </xf>
    <xf numFmtId="0" fontId="12" fillId="6" borderId="36" xfId="1" applyFont="1" applyFill="1" applyBorder="1" applyAlignment="1">
      <alignment horizontal="left" vertical="center" wrapText="1"/>
    </xf>
    <xf numFmtId="0" fontId="10" fillId="6" borderId="36" xfId="1" applyFont="1" applyFill="1" applyBorder="1" applyAlignment="1">
      <alignment horizontal="center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36" xfId="1" applyFont="1" applyFill="1" applyBorder="1" applyAlignment="1">
      <alignment horizontal="center" vertical="center" wrapText="1"/>
    </xf>
    <xf numFmtId="0" fontId="29" fillId="0" borderId="1" xfId="0" applyFont="1" applyBorder="1">
      <alignment vertical="center"/>
    </xf>
    <xf numFmtId="0" fontId="9" fillId="0" borderId="1" xfId="0" applyFont="1" applyBorder="1" applyAlignment="1">
      <alignment vertical="center" wrapText="1"/>
    </xf>
    <xf numFmtId="0" fontId="15" fillId="3" borderId="0" xfId="5" applyFont="1" applyFill="1">
      <alignment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2" fillId="9" borderId="1" xfId="1" applyFont="1" applyFill="1" applyBorder="1" applyAlignment="1">
      <alignment horizontal="left" vertical="top" wrapText="1"/>
    </xf>
    <xf numFmtId="0" fontId="12" fillId="10" borderId="1" xfId="1" applyFont="1" applyFill="1" applyBorder="1" applyAlignment="1">
      <alignment horizontal="left" vertical="top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3" fillId="5" borderId="35" xfId="1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28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32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8" xfId="1" applyFont="1" applyFill="1" applyBorder="1" applyAlignment="1">
      <alignment horizontal="center" vertical="center" wrapText="1"/>
    </xf>
  </cellXfs>
  <cellStyles count="8">
    <cellStyle name="표준" xfId="0" builtinId="0"/>
    <cellStyle name="표준 2" xfId="1" xr:uid="{00000000-0005-0000-0000-000001000000}"/>
    <cellStyle name="표준 2 10" xfId="6" xr:uid="{00000000-0005-0000-0000-000002000000}"/>
    <cellStyle name="표준 25" xfId="4" xr:uid="{00000000-0005-0000-0000-000003000000}"/>
    <cellStyle name="표준 3" xfId="3" xr:uid="{00000000-0005-0000-0000-000004000000}"/>
    <cellStyle name="표준 4" xfId="2" xr:uid="{00000000-0005-0000-0000-000005000000}"/>
    <cellStyle name="표준 5" xfId="5" xr:uid="{00000000-0005-0000-0000-000006000000}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2.xml" Type="http://schemas.openxmlformats.org/officeDocument/2006/relationships/customXml"/>
<Relationship Id="rId11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Relationship Id="rId9" Target="../customXml/item1.xml" Type="http://schemas.openxmlformats.org/officeDocument/2006/relationships/customXml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이력관리"/>
      <sheetName val="Code"/>
      <sheetName val="IF_SRD_DPS_EBIZ_XXXX"/>
    </sheetNames>
    <sheetDataSet>
      <sheetData sheetId="0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"/>
  <sheetViews>
    <sheetView tabSelected="1" zoomScale="85" zoomScaleNormal="85" workbookViewId="0">
      <selection activeCell="L15" sqref="L15"/>
    </sheetView>
  </sheetViews>
  <sheetFormatPr defaultColWidth="9" defaultRowHeight="16.5" x14ac:dyDescent="0.3"/>
  <cols>
    <col min="1" max="16384" width="9" style="10"/>
  </cols>
  <sheetData>
    <row r="1" spans="1:24" ht="26.25" x14ac:dyDescent="0.3">
      <c r="A1" s="75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spans="1:24" ht="17.25" x14ac:dyDescent="0.3">
      <c r="A3" s="11"/>
      <c r="B3" s="12" t="s">
        <v>1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4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ht="18" thickBot="1" x14ac:dyDescent="0.35">
      <c r="A4" s="11"/>
      <c r="B4" s="13" t="s">
        <v>2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4" t="s">
        <v>3</v>
      </c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 x14ac:dyDescent="0.3">
      <c r="A5" s="11"/>
      <c r="B5" s="76" t="s">
        <v>4</v>
      </c>
      <c r="C5" s="77"/>
      <c r="D5" s="78" t="s">
        <v>5</v>
      </c>
      <c r="E5" s="77"/>
      <c r="F5" s="78" t="s">
        <v>1</v>
      </c>
      <c r="G5" s="79"/>
      <c r="H5" s="79"/>
      <c r="I5" s="79"/>
      <c r="J5" s="77"/>
      <c r="K5" s="78" t="s">
        <v>6</v>
      </c>
      <c r="L5" s="80"/>
      <c r="M5" s="11"/>
      <c r="N5" s="76" t="s">
        <v>4</v>
      </c>
      <c r="O5" s="77"/>
      <c r="P5" s="78" t="s">
        <v>5</v>
      </c>
      <c r="Q5" s="77"/>
      <c r="R5" s="78" t="s">
        <v>1</v>
      </c>
      <c r="S5" s="79"/>
      <c r="T5" s="79"/>
      <c r="U5" s="79"/>
      <c r="V5" s="77"/>
      <c r="W5" s="78" t="s">
        <v>6</v>
      </c>
      <c r="X5" s="80"/>
    </row>
    <row r="6" spans="1:24" x14ac:dyDescent="0.3">
      <c r="A6" s="11"/>
      <c r="B6" s="81" t="s">
        <v>510</v>
      </c>
      <c r="C6" s="82"/>
      <c r="D6" s="83" t="s">
        <v>482</v>
      </c>
      <c r="E6" s="82"/>
      <c r="F6" s="84" t="s">
        <v>7</v>
      </c>
      <c r="G6" s="85"/>
      <c r="H6" s="85"/>
      <c r="I6" s="85"/>
      <c r="J6" s="86"/>
      <c r="K6" s="83">
        <v>0.1</v>
      </c>
      <c r="L6" s="87"/>
      <c r="M6" s="11"/>
      <c r="N6" s="81"/>
      <c r="O6" s="82"/>
      <c r="P6" s="83" t="s">
        <v>483</v>
      </c>
      <c r="Q6" s="82"/>
      <c r="R6" s="84" t="s">
        <v>7</v>
      </c>
      <c r="S6" s="85"/>
      <c r="T6" s="85"/>
      <c r="U6" s="85"/>
      <c r="V6" s="86"/>
      <c r="W6" s="83">
        <v>0.1</v>
      </c>
      <c r="X6" s="87"/>
    </row>
    <row r="7" spans="1:24" x14ac:dyDescent="0.3">
      <c r="A7" s="11"/>
      <c r="B7" s="81" t="s">
        <v>511</v>
      </c>
      <c r="C7" s="82"/>
      <c r="D7" s="83" t="s">
        <v>482</v>
      </c>
      <c r="E7" s="82"/>
      <c r="F7" s="84" t="s">
        <v>512</v>
      </c>
      <c r="G7" s="85"/>
      <c r="H7" s="85"/>
      <c r="I7" s="85"/>
      <c r="J7" s="86"/>
      <c r="K7" s="83">
        <v>0.2</v>
      </c>
      <c r="L7" s="87"/>
      <c r="M7" s="11"/>
      <c r="N7" s="81"/>
      <c r="O7" s="82"/>
      <c r="P7" s="83"/>
      <c r="Q7" s="82"/>
      <c r="R7" s="88"/>
      <c r="S7" s="85"/>
      <c r="T7" s="85"/>
      <c r="U7" s="85"/>
      <c r="V7" s="86"/>
      <c r="W7" s="83"/>
      <c r="X7" s="87"/>
    </row>
    <row r="8" spans="1:24" x14ac:dyDescent="0.3">
      <c r="A8" s="11"/>
      <c r="B8" s="81"/>
      <c r="C8" s="82"/>
      <c r="D8" s="83"/>
      <c r="E8" s="82"/>
      <c r="F8" s="88"/>
      <c r="G8" s="85"/>
      <c r="H8" s="85"/>
      <c r="I8" s="85"/>
      <c r="J8" s="86"/>
      <c r="K8" s="89"/>
      <c r="L8" s="90"/>
      <c r="M8" s="11"/>
      <c r="N8" s="81"/>
      <c r="O8" s="82"/>
      <c r="P8" s="83"/>
      <c r="Q8" s="82"/>
      <c r="R8" s="88"/>
      <c r="S8" s="85"/>
      <c r="T8" s="85"/>
      <c r="U8" s="85"/>
      <c r="V8" s="86"/>
      <c r="W8" s="89"/>
      <c r="X8" s="90"/>
    </row>
    <row r="9" spans="1:24" x14ac:dyDescent="0.3">
      <c r="A9" s="11"/>
      <c r="B9" s="81"/>
      <c r="C9" s="82"/>
      <c r="D9" s="83"/>
      <c r="E9" s="82"/>
      <c r="F9" s="88"/>
      <c r="G9" s="85"/>
      <c r="H9" s="85"/>
      <c r="I9" s="85"/>
      <c r="J9" s="86"/>
      <c r="K9" s="89"/>
      <c r="L9" s="90"/>
      <c r="M9" s="11"/>
      <c r="N9" s="81"/>
      <c r="O9" s="82"/>
      <c r="P9" s="83"/>
      <c r="Q9" s="82"/>
      <c r="R9" s="88"/>
      <c r="S9" s="85"/>
      <c r="T9" s="85"/>
      <c r="U9" s="85"/>
      <c r="V9" s="86"/>
      <c r="W9" s="89"/>
      <c r="X9" s="90"/>
    </row>
  </sheetData>
  <mergeCells count="41"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P7:Q7"/>
    <mergeCell ref="R7:V7"/>
    <mergeCell ref="W7:X7"/>
    <mergeCell ref="R8:V8"/>
    <mergeCell ref="W8:X8"/>
    <mergeCell ref="B7:C7"/>
    <mergeCell ref="D7:E7"/>
    <mergeCell ref="F7:J7"/>
    <mergeCell ref="K7:L7"/>
    <mergeCell ref="N7:O7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A1:M1"/>
    <mergeCell ref="B5:C5"/>
    <mergeCell ref="D5:E5"/>
    <mergeCell ref="F5:J5"/>
    <mergeCell ref="K5:L5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8" t="s">
        <v>8</v>
      </c>
      <c r="C2" s="18" t="s">
        <v>9</v>
      </c>
      <c r="E2" s="18" t="s">
        <v>10</v>
      </c>
      <c r="G2" s="18" t="s">
        <v>11</v>
      </c>
      <c r="I2" s="18" t="s">
        <v>12</v>
      </c>
      <c r="K2" s="18" t="s">
        <v>13</v>
      </c>
      <c r="M2" s="18" t="s">
        <v>14</v>
      </c>
    </row>
    <row r="3" spans="2:13" x14ac:dyDescent="0.3">
      <c r="B3" s="19" t="s">
        <v>15</v>
      </c>
      <c r="C3" s="19" t="s">
        <v>16</v>
      </c>
      <c r="E3" s="20" t="s">
        <v>17</v>
      </c>
      <c r="G3" s="20" t="s">
        <v>18</v>
      </c>
      <c r="I3" s="19" t="s">
        <v>19</v>
      </c>
      <c r="K3" s="20" t="s">
        <v>20</v>
      </c>
      <c r="M3" s="20" t="s">
        <v>21</v>
      </c>
    </row>
    <row r="4" spans="2:13" x14ac:dyDescent="0.3">
      <c r="B4" s="19" t="s">
        <v>22</v>
      </c>
      <c r="C4" s="19" t="s">
        <v>23</v>
      </c>
      <c r="E4" s="20" t="s">
        <v>24</v>
      </c>
      <c r="G4" s="20" t="s">
        <v>25</v>
      </c>
      <c r="I4" s="20" t="s">
        <v>26</v>
      </c>
      <c r="K4" s="20" t="s">
        <v>27</v>
      </c>
      <c r="M4" s="20" t="s">
        <v>28</v>
      </c>
    </row>
    <row r="5" spans="2:13" x14ac:dyDescent="0.3">
      <c r="B5" s="19" t="s">
        <v>29</v>
      </c>
      <c r="C5" s="19" t="s">
        <v>30</v>
      </c>
      <c r="E5" s="20" t="s">
        <v>31</v>
      </c>
      <c r="I5" s="20" t="s">
        <v>32</v>
      </c>
      <c r="K5" s="20" t="s">
        <v>33</v>
      </c>
    </row>
    <row r="6" spans="2:13" x14ac:dyDescent="0.3">
      <c r="B6" s="19" t="s">
        <v>34</v>
      </c>
      <c r="C6" s="19" t="s">
        <v>35</v>
      </c>
      <c r="E6" s="20" t="s">
        <v>36</v>
      </c>
      <c r="I6" s="20" t="s">
        <v>37</v>
      </c>
    </row>
    <row r="7" spans="2:13" x14ac:dyDescent="0.3">
      <c r="B7" s="19" t="s">
        <v>38</v>
      </c>
      <c r="C7" s="19" t="s">
        <v>39</v>
      </c>
      <c r="I7" s="20" t="s">
        <v>40</v>
      </c>
    </row>
    <row r="8" spans="2:13" x14ac:dyDescent="0.3">
      <c r="B8" s="19" t="s">
        <v>41</v>
      </c>
      <c r="C8" s="19" t="s">
        <v>42</v>
      </c>
      <c r="I8" s="20" t="s">
        <v>43</v>
      </c>
    </row>
    <row r="9" spans="2:13" x14ac:dyDescent="0.3">
      <c r="B9" s="19" t="s">
        <v>44</v>
      </c>
      <c r="C9" s="19" t="s">
        <v>45</v>
      </c>
      <c r="I9" s="20" t="s">
        <v>46</v>
      </c>
    </row>
    <row r="10" spans="2:13" x14ac:dyDescent="0.3">
      <c r="B10" s="19" t="s">
        <v>47</v>
      </c>
      <c r="C10" s="19" t="s">
        <v>48</v>
      </c>
      <c r="I10" s="20" t="s">
        <v>49</v>
      </c>
    </row>
    <row r="11" spans="2:13" x14ac:dyDescent="0.3">
      <c r="B11" s="19" t="s">
        <v>50</v>
      </c>
      <c r="C11" s="19" t="s">
        <v>51</v>
      </c>
    </row>
    <row r="12" spans="2:13" x14ac:dyDescent="0.3">
      <c r="B12" s="19" t="s">
        <v>52</v>
      </c>
      <c r="C12" s="19" t="s">
        <v>53</v>
      </c>
    </row>
    <row r="13" spans="2:13" x14ac:dyDescent="0.3">
      <c r="B13" s="19" t="s">
        <v>54</v>
      </c>
      <c r="C13" s="19" t="s">
        <v>55</v>
      </c>
    </row>
    <row r="14" spans="2:13" x14ac:dyDescent="0.3">
      <c r="B14" s="19" t="s">
        <v>56</v>
      </c>
      <c r="C14" s="19" t="s">
        <v>57</v>
      </c>
    </row>
    <row r="15" spans="2:13" x14ac:dyDescent="0.3">
      <c r="B15" s="19" t="s">
        <v>58</v>
      </c>
      <c r="C15" s="19" t="s">
        <v>59</v>
      </c>
    </row>
    <row r="16" spans="2:13" x14ac:dyDescent="0.3">
      <c r="B16" s="19" t="s">
        <v>60</v>
      </c>
      <c r="C16" s="19" t="s">
        <v>61</v>
      </c>
    </row>
    <row r="17" spans="2:3" x14ac:dyDescent="0.3">
      <c r="B17" s="19" t="s">
        <v>62</v>
      </c>
      <c r="C17" s="19" t="s">
        <v>63</v>
      </c>
    </row>
    <row r="18" spans="2:3" x14ac:dyDescent="0.3">
      <c r="B18" s="19" t="s">
        <v>64</v>
      </c>
      <c r="C18" s="19" t="s">
        <v>65</v>
      </c>
    </row>
    <row r="19" spans="2:3" x14ac:dyDescent="0.3">
      <c r="B19" s="19" t="s">
        <v>66</v>
      </c>
      <c r="C19" s="19" t="s">
        <v>67</v>
      </c>
    </row>
    <row r="20" spans="2:3" x14ac:dyDescent="0.3">
      <c r="B20" s="19" t="s">
        <v>68</v>
      </c>
      <c r="C20" s="19" t="s">
        <v>69</v>
      </c>
    </row>
    <row r="21" spans="2:3" x14ac:dyDescent="0.3">
      <c r="B21" s="19" t="s">
        <v>70</v>
      </c>
      <c r="C21" s="19" t="s">
        <v>71</v>
      </c>
    </row>
    <row r="22" spans="2:3" x14ac:dyDescent="0.3">
      <c r="B22" s="19" t="s">
        <v>72</v>
      </c>
      <c r="C22" s="19" t="s">
        <v>73</v>
      </c>
    </row>
    <row r="23" spans="2:3" x14ac:dyDescent="0.3">
      <c r="B23" s="19" t="s">
        <v>74</v>
      </c>
      <c r="C23" s="22" t="s">
        <v>75</v>
      </c>
    </row>
    <row r="24" spans="2:3" x14ac:dyDescent="0.3">
      <c r="B24" s="19" t="s">
        <v>76</v>
      </c>
      <c r="C24" s="19" t="s">
        <v>77</v>
      </c>
    </row>
    <row r="25" spans="2:3" x14ac:dyDescent="0.3">
      <c r="B25" s="19" t="s">
        <v>78</v>
      </c>
      <c r="C25" s="19" t="s">
        <v>61</v>
      </c>
    </row>
    <row r="26" spans="2:3" x14ac:dyDescent="0.3">
      <c r="B26" s="19" t="s">
        <v>79</v>
      </c>
      <c r="C26" s="19" t="s">
        <v>80</v>
      </c>
    </row>
    <row r="27" spans="2:3" x14ac:dyDescent="0.3">
      <c r="B27" s="19" t="s">
        <v>81</v>
      </c>
      <c r="C27" s="19" t="s">
        <v>82</v>
      </c>
    </row>
    <row r="28" spans="2:3" x14ac:dyDescent="0.3">
      <c r="B28" s="19" t="s">
        <v>83</v>
      </c>
      <c r="C28" s="19" t="s">
        <v>84</v>
      </c>
    </row>
    <row r="29" spans="2:3" x14ac:dyDescent="0.3">
      <c r="B29" s="19" t="s">
        <v>85</v>
      </c>
      <c r="C29" s="19" t="s">
        <v>86</v>
      </c>
    </row>
    <row r="30" spans="2:3" x14ac:dyDescent="0.3">
      <c r="B30" s="19" t="s">
        <v>87</v>
      </c>
      <c r="C30" s="19" t="s">
        <v>88</v>
      </c>
    </row>
    <row r="31" spans="2:3" x14ac:dyDescent="0.3">
      <c r="B31" s="19" t="s">
        <v>89</v>
      </c>
      <c r="C31" s="19" t="s">
        <v>90</v>
      </c>
    </row>
    <row r="32" spans="2:3" x14ac:dyDescent="0.3">
      <c r="B32" s="19" t="s">
        <v>91</v>
      </c>
      <c r="C32" s="19" t="s">
        <v>61</v>
      </c>
    </row>
    <row r="33" spans="2:3" x14ac:dyDescent="0.3">
      <c r="B33" s="19" t="s">
        <v>92</v>
      </c>
      <c r="C33" s="19" t="s">
        <v>93</v>
      </c>
    </row>
    <row r="34" spans="2:3" x14ac:dyDescent="0.3">
      <c r="B34" s="19" t="s">
        <v>94</v>
      </c>
      <c r="C34" s="19" t="s">
        <v>61</v>
      </c>
    </row>
    <row r="35" spans="2:3" x14ac:dyDescent="0.3">
      <c r="B35" s="19" t="s">
        <v>95</v>
      </c>
      <c r="C35" s="19" t="s">
        <v>96</v>
      </c>
    </row>
    <row r="36" spans="2:3" x14ac:dyDescent="0.3">
      <c r="B36" s="23" t="s">
        <v>97</v>
      </c>
      <c r="C36" s="19" t="s">
        <v>98</v>
      </c>
    </row>
    <row r="37" spans="2:3" x14ac:dyDescent="0.3">
      <c r="B37" s="19" t="s">
        <v>99</v>
      </c>
      <c r="C37" s="19" t="s">
        <v>61</v>
      </c>
    </row>
    <row r="38" spans="2:3" x14ac:dyDescent="0.3">
      <c r="B38" s="19" t="s">
        <v>100</v>
      </c>
      <c r="C38" s="19" t="s">
        <v>61</v>
      </c>
    </row>
    <row r="39" spans="2:3" x14ac:dyDescent="0.3">
      <c r="B39" s="19" t="s">
        <v>101</v>
      </c>
      <c r="C39" s="19" t="s">
        <v>102</v>
      </c>
    </row>
    <row r="40" spans="2:3" x14ac:dyDescent="0.3">
      <c r="B40" s="19" t="s">
        <v>103</v>
      </c>
      <c r="C40" s="19" t="s">
        <v>103</v>
      </c>
    </row>
    <row r="41" spans="2:3" x14ac:dyDescent="0.3">
      <c r="B41" s="23" t="s">
        <v>104</v>
      </c>
      <c r="C41" s="19" t="s">
        <v>61</v>
      </c>
    </row>
    <row r="42" spans="2:3" x14ac:dyDescent="0.3">
      <c r="B42" s="23" t="s">
        <v>105</v>
      </c>
      <c r="C42" s="19" t="s">
        <v>106</v>
      </c>
    </row>
    <row r="43" spans="2:3" x14ac:dyDescent="0.3">
      <c r="B43" s="19" t="s">
        <v>107</v>
      </c>
      <c r="C43" s="19" t="s">
        <v>108</v>
      </c>
    </row>
    <row r="44" spans="2:3" x14ac:dyDescent="0.3">
      <c r="B44" s="19" t="s">
        <v>109</v>
      </c>
      <c r="C44" s="19" t="s">
        <v>110</v>
      </c>
    </row>
    <row r="45" spans="2:3" x14ac:dyDescent="0.3">
      <c r="B45" s="19" t="s">
        <v>111</v>
      </c>
      <c r="C45" s="19" t="s">
        <v>61</v>
      </c>
    </row>
    <row r="46" spans="2:3" x14ac:dyDescent="0.3">
      <c r="B46" s="19" t="s">
        <v>112</v>
      </c>
      <c r="C46" s="19" t="s">
        <v>113</v>
      </c>
    </row>
    <row r="47" spans="2:3" x14ac:dyDescent="0.3">
      <c r="B47" s="19" t="s">
        <v>114</v>
      </c>
      <c r="C47" s="19" t="s">
        <v>115</v>
      </c>
    </row>
    <row r="48" spans="2:3" x14ac:dyDescent="0.3">
      <c r="B48" s="19" t="s">
        <v>116</v>
      </c>
      <c r="C48" s="19" t="s">
        <v>61</v>
      </c>
    </row>
    <row r="49" spans="2:3" x14ac:dyDescent="0.3">
      <c r="B49" s="23" t="s">
        <v>117</v>
      </c>
      <c r="C49" s="19" t="s">
        <v>118</v>
      </c>
    </row>
    <row r="50" spans="2:3" x14ac:dyDescent="0.3">
      <c r="B50" s="19" t="s">
        <v>119</v>
      </c>
      <c r="C50" s="19" t="s">
        <v>61</v>
      </c>
    </row>
    <row r="51" spans="2:3" x14ac:dyDescent="0.3">
      <c r="B51" s="19" t="s">
        <v>120</v>
      </c>
      <c r="C51" s="19" t="s">
        <v>121</v>
      </c>
    </row>
    <row r="52" spans="2:3" x14ac:dyDescent="0.3">
      <c r="B52" s="19" t="s">
        <v>122</v>
      </c>
      <c r="C52" s="19" t="s">
        <v>61</v>
      </c>
    </row>
    <row r="53" spans="2:3" x14ac:dyDescent="0.3">
      <c r="B53" s="19" t="s">
        <v>123</v>
      </c>
      <c r="C53" s="19" t="s">
        <v>124</v>
      </c>
    </row>
    <row r="54" spans="2:3" x14ac:dyDescent="0.3">
      <c r="B54" s="19" t="s">
        <v>125</v>
      </c>
      <c r="C54" s="19" t="s">
        <v>126</v>
      </c>
    </row>
    <row r="55" spans="2:3" x14ac:dyDescent="0.3">
      <c r="B55" s="19" t="s">
        <v>127</v>
      </c>
      <c r="C55" s="19" t="s">
        <v>61</v>
      </c>
    </row>
    <row r="56" spans="2:3" x14ac:dyDescent="0.3">
      <c r="B56" s="19" t="s">
        <v>128</v>
      </c>
      <c r="C56" s="19" t="s">
        <v>61</v>
      </c>
    </row>
    <row r="57" spans="2:3" x14ac:dyDescent="0.3">
      <c r="B57" s="19" t="s">
        <v>129</v>
      </c>
      <c r="C57" s="19" t="s">
        <v>130</v>
      </c>
    </row>
    <row r="58" spans="2:3" x14ac:dyDescent="0.3">
      <c r="B58" s="19" t="s">
        <v>131</v>
      </c>
      <c r="C58" s="19" t="s">
        <v>132</v>
      </c>
    </row>
    <row r="59" spans="2:3" x14ac:dyDescent="0.3">
      <c r="B59" s="19" t="s">
        <v>133</v>
      </c>
      <c r="C59" s="19" t="s">
        <v>75</v>
      </c>
    </row>
    <row r="60" spans="2:3" x14ac:dyDescent="0.3">
      <c r="B60" s="19" t="s">
        <v>134</v>
      </c>
      <c r="C60" s="19" t="s">
        <v>135</v>
      </c>
    </row>
    <row r="61" spans="2:3" x14ac:dyDescent="0.3">
      <c r="B61" s="19" t="s">
        <v>136</v>
      </c>
      <c r="C61" s="19" t="s">
        <v>137</v>
      </c>
    </row>
    <row r="62" spans="2:3" x14ac:dyDescent="0.3">
      <c r="B62" s="19" t="s">
        <v>138</v>
      </c>
      <c r="C62" s="19" t="s">
        <v>139</v>
      </c>
    </row>
    <row r="63" spans="2:3" x14ac:dyDescent="0.3">
      <c r="B63" s="19" t="s">
        <v>140</v>
      </c>
      <c r="C63" s="19" t="s">
        <v>141</v>
      </c>
    </row>
    <row r="64" spans="2:3" x14ac:dyDescent="0.3">
      <c r="B64" s="19" t="s">
        <v>142</v>
      </c>
      <c r="C64" s="19" t="s">
        <v>142</v>
      </c>
    </row>
    <row r="65" spans="2:3" x14ac:dyDescent="0.3">
      <c r="B65" s="19" t="s">
        <v>143</v>
      </c>
      <c r="C65" s="19" t="s">
        <v>144</v>
      </c>
    </row>
    <row r="66" spans="2:3" x14ac:dyDescent="0.3">
      <c r="B66" s="19" t="s">
        <v>145</v>
      </c>
      <c r="C66" s="19" t="s">
        <v>146</v>
      </c>
    </row>
    <row r="67" spans="2:3" x14ac:dyDescent="0.3">
      <c r="B67" s="19" t="s">
        <v>147</v>
      </c>
      <c r="C67" s="19" t="s">
        <v>61</v>
      </c>
    </row>
    <row r="68" spans="2:3" x14ac:dyDescent="0.3">
      <c r="B68" s="19" t="s">
        <v>148</v>
      </c>
      <c r="C68" s="19" t="s">
        <v>149</v>
      </c>
    </row>
    <row r="69" spans="2:3" x14ac:dyDescent="0.3">
      <c r="B69" s="19" t="s">
        <v>185</v>
      </c>
      <c r="C69" s="19" t="s">
        <v>187</v>
      </c>
    </row>
    <row r="70" spans="2:3" x14ac:dyDescent="0.3">
      <c r="B70" s="19"/>
      <c r="C70" s="19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X235"/>
  <sheetViews>
    <sheetView zoomScale="70" zoomScaleNormal="70" workbookViewId="0"/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31.75" style="3" customWidth="1"/>
    <col min="4" max="4" width="4.375" style="3" bestFit="1" customWidth="1"/>
    <col min="5" max="5" width="32.125" style="3" bestFit="1" customWidth="1"/>
    <col min="6" max="6" width="4.25" style="3" bestFit="1" customWidth="1"/>
    <col min="7" max="7" width="15.5" style="3" bestFit="1" customWidth="1"/>
    <col min="8" max="8" width="5.5" style="3" bestFit="1" customWidth="1"/>
    <col min="9" max="9" width="9" style="3"/>
    <col min="10" max="10" width="50.5" style="3" bestFit="1" customWidth="1"/>
    <col min="11" max="11" width="17.25" style="3" customWidth="1"/>
    <col min="12" max="12" width="6" style="3" customWidth="1"/>
    <col min="13" max="13" width="6" style="3" hidden="1" customWidth="1"/>
    <col min="14" max="14" width="31.75" style="3" customWidth="1"/>
    <col min="15" max="15" width="4.375" style="3" bestFit="1" customWidth="1"/>
    <col min="16" max="16" width="21.5" style="3" customWidth="1"/>
    <col min="17" max="17" width="4.375" style="3" customWidth="1"/>
    <col min="18" max="18" width="15.5" style="3" bestFit="1" customWidth="1"/>
    <col min="19" max="19" width="5" style="3" customWidth="1"/>
    <col min="20" max="20" width="9" style="3" customWidth="1"/>
    <col min="21" max="21" width="20.12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16" t="s">
        <v>150</v>
      </c>
      <c r="D2" s="117"/>
      <c r="E2" s="117"/>
      <c r="F2" s="117"/>
      <c r="G2" s="117"/>
      <c r="H2" s="117"/>
      <c r="I2" s="117"/>
      <c r="J2" s="117"/>
      <c r="K2" s="117"/>
      <c r="L2" s="117"/>
      <c r="M2" s="118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</row>
    <row r="3" spans="3:24" ht="16.5" customHeight="1" x14ac:dyDescent="0.3">
      <c r="C3" s="34" t="s">
        <v>151</v>
      </c>
      <c r="D3" s="119" t="s">
        <v>474</v>
      </c>
      <c r="E3" s="120"/>
      <c r="F3" s="120"/>
      <c r="G3" s="120"/>
      <c r="H3" s="121"/>
      <c r="I3" s="122" t="s">
        <v>152</v>
      </c>
      <c r="J3" s="122"/>
      <c r="K3" s="123" t="s">
        <v>481</v>
      </c>
      <c r="L3" s="124"/>
      <c r="M3" s="66"/>
      <c r="N3" s="35" t="s">
        <v>153</v>
      </c>
      <c r="O3" s="125" t="s">
        <v>505</v>
      </c>
      <c r="P3" s="126"/>
      <c r="Q3" s="126"/>
      <c r="R3" s="126"/>
      <c r="S3" s="126"/>
      <c r="T3" s="126"/>
      <c r="U3" s="127"/>
      <c r="V3" s="35" t="s">
        <v>154</v>
      </c>
      <c r="W3" s="128">
        <v>44761</v>
      </c>
      <c r="X3" s="124"/>
    </row>
    <row r="4" spans="3:24" ht="16.5" customHeight="1" x14ac:dyDescent="0.3">
      <c r="C4" s="34" t="s">
        <v>155</v>
      </c>
      <c r="D4" s="119" t="s">
        <v>156</v>
      </c>
      <c r="E4" s="120"/>
      <c r="F4" s="120"/>
      <c r="G4" s="120"/>
      <c r="H4" s="121"/>
      <c r="I4" s="139" t="s">
        <v>13</v>
      </c>
      <c r="J4" s="140"/>
      <c r="K4" s="123" t="s">
        <v>157</v>
      </c>
      <c r="L4" s="124"/>
      <c r="M4" s="66"/>
      <c r="N4" s="35" t="s">
        <v>158</v>
      </c>
      <c r="O4" s="125" t="s">
        <v>186</v>
      </c>
      <c r="P4" s="126"/>
      <c r="Q4" s="126"/>
      <c r="R4" s="126"/>
      <c r="S4" s="126"/>
      <c r="T4" s="126"/>
      <c r="U4" s="127"/>
      <c r="V4" s="35" t="s">
        <v>159</v>
      </c>
      <c r="W4" s="131"/>
      <c r="X4" s="132"/>
    </row>
    <row r="5" spans="3:24" ht="16.5" customHeight="1" x14ac:dyDescent="0.3">
      <c r="C5" s="36" t="s">
        <v>160</v>
      </c>
      <c r="D5" s="141"/>
      <c r="E5" s="142"/>
      <c r="F5" s="142"/>
      <c r="G5" s="142"/>
      <c r="H5" s="143"/>
      <c r="I5" s="95" t="s">
        <v>161</v>
      </c>
      <c r="J5" s="95"/>
      <c r="K5" s="129"/>
      <c r="L5" s="130"/>
      <c r="M5" s="67"/>
      <c r="N5" s="36" t="s">
        <v>162</v>
      </c>
      <c r="O5" s="144"/>
      <c r="P5" s="145"/>
      <c r="Q5" s="145"/>
      <c r="R5" s="145"/>
      <c r="S5" s="145"/>
      <c r="T5" s="145"/>
      <c r="U5" s="146"/>
      <c r="V5" s="36" t="s">
        <v>163</v>
      </c>
      <c r="W5" s="129"/>
      <c r="X5" s="130"/>
    </row>
    <row r="7" spans="3:24" ht="45.75" customHeight="1" x14ac:dyDescent="0.3">
      <c r="C7" s="15" t="s">
        <v>164</v>
      </c>
      <c r="D7" s="135" t="s">
        <v>204</v>
      </c>
      <c r="E7" s="136"/>
      <c r="F7" s="136"/>
      <c r="G7" s="136"/>
      <c r="H7" s="136"/>
      <c r="I7" s="136"/>
      <c r="J7" s="136"/>
      <c r="K7" s="136"/>
      <c r="L7" s="136"/>
      <c r="M7" s="137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8"/>
    </row>
    <row r="8" spans="3:24" ht="27" customHeight="1" x14ac:dyDescent="0.3">
      <c r="C8" s="15" t="s">
        <v>165</v>
      </c>
      <c r="D8" s="135" t="s">
        <v>190</v>
      </c>
      <c r="E8" s="136"/>
      <c r="F8" s="136"/>
      <c r="G8" s="136"/>
      <c r="H8" s="136"/>
      <c r="I8" s="136"/>
      <c r="J8" s="136"/>
      <c r="K8" s="136"/>
      <c r="L8" s="136"/>
      <c r="M8" s="137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8"/>
    </row>
    <row r="10" spans="3:24" ht="38.25" customHeight="1" x14ac:dyDescent="0.3">
      <c r="C10" s="107" t="s">
        <v>166</v>
      </c>
      <c r="D10" s="107"/>
      <c r="E10" s="107"/>
      <c r="F10" s="107"/>
      <c r="G10" s="107"/>
      <c r="H10" s="107"/>
      <c r="I10" s="107"/>
      <c r="J10" s="107"/>
      <c r="K10" s="107"/>
      <c r="L10" s="147"/>
      <c r="M10" s="68"/>
      <c r="N10" s="106" t="s">
        <v>167</v>
      </c>
      <c r="O10" s="107"/>
      <c r="P10" s="107"/>
      <c r="Q10" s="107"/>
      <c r="R10" s="107"/>
      <c r="S10" s="107"/>
      <c r="T10" s="107"/>
      <c r="U10" s="107"/>
      <c r="V10" s="107"/>
      <c r="W10" s="107"/>
      <c r="X10" s="95" t="s">
        <v>168</v>
      </c>
    </row>
    <row r="11" spans="3:24" ht="16.5" customHeight="1" x14ac:dyDescent="0.3">
      <c r="C11" s="105" t="s">
        <v>8</v>
      </c>
      <c r="D11" s="110"/>
      <c r="E11" s="110"/>
      <c r="F11" s="108"/>
      <c r="G11" s="111" t="s">
        <v>169</v>
      </c>
      <c r="H11" s="112"/>
      <c r="I11" s="112"/>
      <c r="J11" s="112"/>
      <c r="K11" s="112"/>
      <c r="L11" s="115"/>
      <c r="M11" s="69"/>
      <c r="N11" s="114" t="s">
        <v>8</v>
      </c>
      <c r="O11" s="110"/>
      <c r="P11" s="110"/>
      <c r="Q11" s="108"/>
      <c r="R11" s="111" t="s">
        <v>189</v>
      </c>
      <c r="S11" s="112"/>
      <c r="T11" s="112"/>
      <c r="U11" s="112"/>
      <c r="V11" s="112"/>
      <c r="W11" s="115"/>
      <c r="X11" s="95"/>
    </row>
    <row r="12" spans="3:24" ht="16.5" customHeight="1" x14ac:dyDescent="0.3">
      <c r="C12" s="105" t="s">
        <v>170</v>
      </c>
      <c r="D12" s="110"/>
      <c r="E12" s="110"/>
      <c r="F12" s="108"/>
      <c r="G12" s="111" t="str">
        <f>VLOOKUP(G11,Code!$B$3:$C$69,2,0)</f>
        <v>DPS</v>
      </c>
      <c r="H12" s="112"/>
      <c r="I12" s="112"/>
      <c r="J12" s="112"/>
      <c r="K12" s="112"/>
      <c r="L12" s="113"/>
      <c r="M12" s="69"/>
      <c r="N12" s="114" t="s">
        <v>170</v>
      </c>
      <c r="O12" s="110"/>
      <c r="P12" s="110"/>
      <c r="Q12" s="108"/>
      <c r="R12" s="111" t="str">
        <f>VLOOKUP(R11,Code!$B$3:$C$69,2,0)</f>
        <v>ERP</v>
      </c>
      <c r="S12" s="112"/>
      <c r="T12" s="112"/>
      <c r="U12" s="112"/>
      <c r="V12" s="112"/>
      <c r="W12" s="113"/>
      <c r="X12" s="108"/>
    </row>
    <row r="13" spans="3:24" ht="16.5" customHeight="1" x14ac:dyDescent="0.3">
      <c r="C13" s="105" t="s">
        <v>171</v>
      </c>
      <c r="D13" s="110"/>
      <c r="E13" s="110"/>
      <c r="F13" s="108"/>
      <c r="G13" s="96"/>
      <c r="H13" s="97"/>
      <c r="I13" s="97"/>
      <c r="J13" s="97"/>
      <c r="K13" s="97"/>
      <c r="L13" s="98"/>
      <c r="M13" s="70"/>
      <c r="N13" s="114" t="s">
        <v>171</v>
      </c>
      <c r="O13" s="110"/>
      <c r="P13" s="110"/>
      <c r="Q13" s="108"/>
      <c r="R13" s="96" t="s">
        <v>215</v>
      </c>
      <c r="S13" s="97"/>
      <c r="T13" s="97"/>
      <c r="U13" s="97"/>
      <c r="V13" s="97"/>
      <c r="W13" s="98"/>
      <c r="X13" s="95"/>
    </row>
    <row r="14" spans="3:24" x14ac:dyDescent="0.3">
      <c r="C14" s="95" t="s">
        <v>172</v>
      </c>
      <c r="D14" s="95"/>
      <c r="E14" s="95"/>
      <c r="F14" s="95"/>
      <c r="G14" s="96"/>
      <c r="H14" s="97"/>
      <c r="I14" s="97"/>
      <c r="J14" s="97"/>
      <c r="K14" s="97"/>
      <c r="L14" s="97"/>
      <c r="M14" s="70"/>
      <c r="N14" s="114" t="s">
        <v>172</v>
      </c>
      <c r="O14" s="110"/>
      <c r="P14" s="110"/>
      <c r="Q14" s="108"/>
      <c r="R14" s="133" t="s">
        <v>214</v>
      </c>
      <c r="S14" s="134"/>
      <c r="T14" s="134"/>
      <c r="U14" s="134"/>
      <c r="V14" s="134"/>
      <c r="W14" s="134"/>
      <c r="X14" s="95"/>
    </row>
    <row r="15" spans="3:24" ht="16.5" customHeight="1" x14ac:dyDescent="0.3">
      <c r="C15" s="95" t="s">
        <v>10</v>
      </c>
      <c r="D15" s="95"/>
      <c r="E15" s="95"/>
      <c r="F15" s="95"/>
      <c r="G15" s="96" t="s">
        <v>31</v>
      </c>
      <c r="H15" s="97"/>
      <c r="I15" s="97"/>
      <c r="J15" s="97"/>
      <c r="K15" s="97"/>
      <c r="L15" s="98"/>
      <c r="M15" s="70"/>
      <c r="N15" s="99" t="s">
        <v>10</v>
      </c>
      <c r="O15" s="95"/>
      <c r="P15" s="95"/>
      <c r="Q15" s="95"/>
      <c r="R15" s="96" t="s">
        <v>188</v>
      </c>
      <c r="S15" s="97"/>
      <c r="T15" s="97"/>
      <c r="U15" s="97"/>
      <c r="V15" s="97"/>
      <c r="W15" s="98"/>
      <c r="X15" s="95"/>
    </row>
    <row r="16" spans="3:24" ht="16.5" customHeight="1" x14ac:dyDescent="0.3">
      <c r="C16" s="100" t="s">
        <v>173</v>
      </c>
      <c r="D16" s="101"/>
      <c r="E16" s="101"/>
      <c r="F16" s="101"/>
      <c r="G16" s="101"/>
      <c r="H16" s="101"/>
      <c r="I16" s="101"/>
      <c r="J16" s="101"/>
      <c r="K16" s="101"/>
      <c r="L16" s="102"/>
      <c r="M16" s="71"/>
      <c r="N16" s="103" t="s">
        <v>174</v>
      </c>
      <c r="O16" s="101"/>
      <c r="P16" s="101"/>
      <c r="Q16" s="101"/>
      <c r="R16" s="101"/>
      <c r="S16" s="101"/>
      <c r="T16" s="101"/>
      <c r="U16" s="101"/>
      <c r="V16" s="101"/>
      <c r="W16" s="104"/>
      <c r="X16" s="95"/>
    </row>
    <row r="17" spans="2:24" ht="16.5" customHeight="1" x14ac:dyDescent="0.3">
      <c r="C17" s="17" t="s">
        <v>172</v>
      </c>
      <c r="D17" s="17" t="s">
        <v>175</v>
      </c>
      <c r="E17" s="17" t="s">
        <v>176</v>
      </c>
      <c r="F17" s="17" t="s">
        <v>177</v>
      </c>
      <c r="G17" s="17" t="s">
        <v>178</v>
      </c>
      <c r="H17" s="17" t="s">
        <v>179</v>
      </c>
      <c r="I17" s="17" t="s">
        <v>180</v>
      </c>
      <c r="J17" s="17" t="s">
        <v>153</v>
      </c>
      <c r="K17" s="17" t="s">
        <v>181</v>
      </c>
      <c r="L17" s="37" t="s">
        <v>182</v>
      </c>
      <c r="M17" s="71"/>
      <c r="N17" s="38" t="s">
        <v>172</v>
      </c>
      <c r="O17" s="39" t="s">
        <v>175</v>
      </c>
      <c r="P17" s="39" t="s">
        <v>176</v>
      </c>
      <c r="Q17" s="39" t="s">
        <v>177</v>
      </c>
      <c r="R17" s="39" t="s">
        <v>178</v>
      </c>
      <c r="S17" s="39" t="s">
        <v>179</v>
      </c>
      <c r="T17" s="17" t="s">
        <v>180</v>
      </c>
      <c r="U17" s="39" t="s">
        <v>153</v>
      </c>
      <c r="V17" s="39" t="s">
        <v>181</v>
      </c>
      <c r="W17" s="39" t="s">
        <v>182</v>
      </c>
      <c r="X17" s="109"/>
    </row>
    <row r="18" spans="2:24" s="2" customFormat="1" ht="16.5" customHeight="1" x14ac:dyDescent="0.3">
      <c r="B18" s="2" t="s">
        <v>478</v>
      </c>
      <c r="C18" s="40" t="s">
        <v>31</v>
      </c>
      <c r="D18" s="41">
        <v>1</v>
      </c>
      <c r="E18" s="42" t="s">
        <v>459</v>
      </c>
      <c r="F18" s="43"/>
      <c r="G18" s="44" t="s">
        <v>461</v>
      </c>
      <c r="H18" s="44"/>
      <c r="I18" s="43" t="s">
        <v>462</v>
      </c>
      <c r="J18" s="45" t="s">
        <v>463</v>
      </c>
      <c r="K18" s="46" t="s">
        <v>465</v>
      </c>
      <c r="L18" s="47"/>
      <c r="M18" s="47" t="s">
        <v>479</v>
      </c>
      <c r="N18" s="26" t="s">
        <v>214</v>
      </c>
      <c r="O18" s="41">
        <v>1</v>
      </c>
      <c r="P18" s="42" t="s">
        <v>466</v>
      </c>
      <c r="Q18" s="43"/>
      <c r="R18" s="44" t="s">
        <v>461</v>
      </c>
      <c r="S18" s="44"/>
      <c r="T18" s="43" t="s">
        <v>462</v>
      </c>
      <c r="U18" s="45" t="s">
        <v>468</v>
      </c>
      <c r="V18" s="46" t="s">
        <v>465</v>
      </c>
      <c r="W18" s="48"/>
      <c r="X18" s="49"/>
    </row>
    <row r="19" spans="2:24" s="2" customFormat="1" ht="16.5" customHeight="1" x14ac:dyDescent="0.3">
      <c r="B19" s="2" t="s">
        <v>478</v>
      </c>
      <c r="C19" s="50"/>
      <c r="D19" s="43">
        <v>2</v>
      </c>
      <c r="E19" s="51" t="s">
        <v>460</v>
      </c>
      <c r="F19" s="43"/>
      <c r="G19" s="44" t="s">
        <v>461</v>
      </c>
      <c r="H19" s="44"/>
      <c r="I19" s="43" t="s">
        <v>462</v>
      </c>
      <c r="J19" s="52" t="s">
        <v>464</v>
      </c>
      <c r="K19" s="46" t="s">
        <v>465</v>
      </c>
      <c r="L19" s="47"/>
      <c r="M19" s="47" t="s">
        <v>479</v>
      </c>
      <c r="N19" s="26"/>
      <c r="O19" s="43">
        <v>2</v>
      </c>
      <c r="P19" s="51" t="s">
        <v>467</v>
      </c>
      <c r="Q19" s="43"/>
      <c r="R19" s="44" t="s">
        <v>461</v>
      </c>
      <c r="S19" s="44"/>
      <c r="T19" s="43" t="s">
        <v>462</v>
      </c>
      <c r="U19" s="52" t="s">
        <v>469</v>
      </c>
      <c r="V19" s="46" t="s">
        <v>465</v>
      </c>
      <c r="W19" s="48"/>
      <c r="X19" s="49"/>
    </row>
    <row r="20" spans="2:24" s="2" customFormat="1" ht="16.5" customHeight="1" x14ac:dyDescent="0.3">
      <c r="C20" s="50"/>
      <c r="D20" s="41"/>
      <c r="E20" s="53"/>
      <c r="F20" s="43"/>
      <c r="G20" s="44"/>
      <c r="H20" s="43"/>
      <c r="I20" s="43"/>
      <c r="J20" s="52"/>
      <c r="K20" s="46"/>
      <c r="L20" s="47"/>
      <c r="M20" s="47"/>
      <c r="N20" s="26"/>
      <c r="O20" s="24"/>
      <c r="P20" s="44"/>
      <c r="Q20" s="48"/>
      <c r="R20" s="49"/>
      <c r="S20" s="44"/>
      <c r="T20" s="43"/>
      <c r="U20" s="44"/>
      <c r="V20" s="40"/>
      <c r="W20" s="48"/>
      <c r="X20" s="49"/>
    </row>
    <row r="21" spans="2:24" s="2" customFormat="1" ht="16.5" customHeight="1" x14ac:dyDescent="0.3">
      <c r="C21" s="50"/>
      <c r="D21" s="43"/>
      <c r="E21" s="30"/>
      <c r="F21" s="43"/>
      <c r="G21" s="44"/>
      <c r="H21" s="44"/>
      <c r="I21" s="43"/>
      <c r="J21" s="27"/>
      <c r="K21" s="46"/>
      <c r="L21" s="47"/>
      <c r="M21" s="47"/>
      <c r="N21" s="26"/>
      <c r="O21" s="24"/>
      <c r="P21" s="30"/>
      <c r="Q21" s="48"/>
      <c r="R21" s="49"/>
      <c r="S21" s="44"/>
      <c r="T21" s="43"/>
      <c r="U21" s="44"/>
      <c r="V21" s="40"/>
      <c r="W21" s="48"/>
      <c r="X21" s="49"/>
    </row>
    <row r="22" spans="2:24" ht="16.5" customHeight="1" x14ac:dyDescent="0.3">
      <c r="N22" s="16"/>
      <c r="X22" s="54"/>
    </row>
    <row r="23" spans="2:24" ht="16.5" customHeight="1" x14ac:dyDescent="0.3">
      <c r="C23" s="95" t="s">
        <v>174</v>
      </c>
      <c r="D23" s="95"/>
      <c r="E23" s="95"/>
      <c r="F23" s="95"/>
      <c r="G23" s="95"/>
      <c r="H23" s="95"/>
      <c r="I23" s="95"/>
      <c r="J23" s="95"/>
      <c r="K23" s="95"/>
      <c r="L23" s="105"/>
      <c r="M23" s="72"/>
      <c r="N23" s="99" t="s">
        <v>173</v>
      </c>
      <c r="O23" s="95"/>
      <c r="P23" s="95"/>
      <c r="Q23" s="95"/>
      <c r="R23" s="95"/>
      <c r="S23" s="95"/>
      <c r="T23" s="95"/>
      <c r="U23" s="95"/>
      <c r="V23" s="95"/>
      <c r="W23" s="105"/>
      <c r="X23" s="93" t="s">
        <v>168</v>
      </c>
    </row>
    <row r="24" spans="2:24" ht="16.5" customHeight="1" x14ac:dyDescent="0.3">
      <c r="C24" s="17" t="s">
        <v>172</v>
      </c>
      <c r="D24" s="17" t="s">
        <v>175</v>
      </c>
      <c r="E24" s="17" t="s">
        <v>176</v>
      </c>
      <c r="F24" s="17" t="s">
        <v>177</v>
      </c>
      <c r="G24" s="17" t="s">
        <v>178</v>
      </c>
      <c r="H24" s="17" t="s">
        <v>179</v>
      </c>
      <c r="I24" s="17" t="s">
        <v>180</v>
      </c>
      <c r="J24" s="17" t="s">
        <v>153</v>
      </c>
      <c r="K24" s="17" t="s">
        <v>181</v>
      </c>
      <c r="L24" s="37" t="s">
        <v>182</v>
      </c>
      <c r="M24" s="71"/>
      <c r="N24" s="38" t="s">
        <v>172</v>
      </c>
      <c r="O24" s="39" t="s">
        <v>175</v>
      </c>
      <c r="P24" s="39" t="s">
        <v>176</v>
      </c>
      <c r="Q24" s="39" t="s">
        <v>177</v>
      </c>
      <c r="R24" s="39" t="s">
        <v>178</v>
      </c>
      <c r="S24" s="39" t="s">
        <v>179</v>
      </c>
      <c r="T24" s="17" t="s">
        <v>180</v>
      </c>
      <c r="U24" s="39" t="s">
        <v>153</v>
      </c>
      <c r="V24" s="39" t="s">
        <v>181</v>
      </c>
      <c r="W24" s="39" t="s">
        <v>182</v>
      </c>
      <c r="X24" s="94"/>
    </row>
    <row r="25" spans="2:24" s="1" customFormat="1" ht="16.5" customHeight="1" x14ac:dyDescent="0.3">
      <c r="B25" s="1" t="s">
        <v>480</v>
      </c>
      <c r="C25" s="40" t="s">
        <v>475</v>
      </c>
      <c r="D25" s="48">
        <v>1</v>
      </c>
      <c r="E25" s="31" t="s">
        <v>216</v>
      </c>
      <c r="F25" s="48" t="s">
        <v>21</v>
      </c>
      <c r="G25" s="32" t="s">
        <v>473</v>
      </c>
      <c r="H25" s="63" t="s">
        <v>472</v>
      </c>
      <c r="I25" s="43" t="s">
        <v>203</v>
      </c>
      <c r="J25" s="44" t="s">
        <v>399</v>
      </c>
      <c r="K25" s="44"/>
      <c r="L25" s="25"/>
      <c r="M25" s="57" t="s">
        <v>507</v>
      </c>
      <c r="N25" s="26" t="s">
        <v>214</v>
      </c>
      <c r="O25" s="48">
        <v>1</v>
      </c>
      <c r="P25" s="31" t="s">
        <v>216</v>
      </c>
      <c r="Q25" s="48" t="s">
        <v>21</v>
      </c>
      <c r="R25" s="32" t="s">
        <v>201</v>
      </c>
      <c r="S25" s="63">
        <v>15</v>
      </c>
      <c r="T25" s="43" t="s">
        <v>203</v>
      </c>
      <c r="U25" s="44" t="s">
        <v>399</v>
      </c>
      <c r="V25" s="44"/>
      <c r="W25" s="48"/>
      <c r="X25" s="4"/>
    </row>
    <row r="26" spans="2:24" s="1" customFormat="1" ht="16.5" customHeight="1" x14ac:dyDescent="0.3">
      <c r="B26" s="1" t="s">
        <v>480</v>
      </c>
      <c r="C26" s="21"/>
      <c r="D26" s="48">
        <v>2</v>
      </c>
      <c r="E26" s="31" t="s">
        <v>217</v>
      </c>
      <c r="F26" s="48"/>
      <c r="G26" s="32" t="s">
        <v>457</v>
      </c>
      <c r="H26" s="63">
        <v>30</v>
      </c>
      <c r="I26" s="43" t="s">
        <v>203</v>
      </c>
      <c r="J26" s="44" t="s">
        <v>400</v>
      </c>
      <c r="K26" s="44" t="s">
        <v>456</v>
      </c>
      <c r="L26" s="25"/>
      <c r="M26" s="57" t="s">
        <v>507</v>
      </c>
      <c r="N26" s="26"/>
      <c r="O26" s="48">
        <v>2</v>
      </c>
      <c r="P26" s="31" t="s">
        <v>217</v>
      </c>
      <c r="Q26" s="48"/>
      <c r="R26" s="32" t="s">
        <v>207</v>
      </c>
      <c r="S26" s="63">
        <v>30</v>
      </c>
      <c r="T26" s="43" t="s">
        <v>203</v>
      </c>
      <c r="U26" s="44" t="s">
        <v>400</v>
      </c>
      <c r="V26" s="44" t="s">
        <v>456</v>
      </c>
      <c r="W26" s="48"/>
      <c r="X26" s="4"/>
    </row>
    <row r="27" spans="2:24" s="1" customFormat="1" ht="16.5" customHeight="1" x14ac:dyDescent="0.3">
      <c r="B27" s="1" t="s">
        <v>480</v>
      </c>
      <c r="C27" s="21"/>
      <c r="D27" s="48">
        <v>3</v>
      </c>
      <c r="E27" s="31" t="s">
        <v>218</v>
      </c>
      <c r="F27" s="51"/>
      <c r="G27" s="32" t="s">
        <v>457</v>
      </c>
      <c r="H27" s="63">
        <v>25</v>
      </c>
      <c r="I27" s="28" t="s">
        <v>203</v>
      </c>
      <c r="J27" s="44" t="s">
        <v>401</v>
      </c>
      <c r="K27" s="44"/>
      <c r="L27" s="25"/>
      <c r="M27" s="57" t="s">
        <v>507</v>
      </c>
      <c r="N27" s="26"/>
      <c r="O27" s="48">
        <v>3</v>
      </c>
      <c r="P27" s="31" t="s">
        <v>218</v>
      </c>
      <c r="Q27" s="51"/>
      <c r="R27" s="32" t="s">
        <v>207</v>
      </c>
      <c r="S27" s="63">
        <v>25</v>
      </c>
      <c r="T27" s="28" t="s">
        <v>203</v>
      </c>
      <c r="U27" s="44" t="s">
        <v>401</v>
      </c>
      <c r="V27" s="44"/>
      <c r="W27" s="48"/>
      <c r="X27" s="4"/>
    </row>
    <row r="28" spans="2:24" s="1" customFormat="1" ht="16.5" customHeight="1" x14ac:dyDescent="0.3">
      <c r="B28" s="1" t="s">
        <v>480</v>
      </c>
      <c r="C28" s="21"/>
      <c r="D28" s="48">
        <v>4</v>
      </c>
      <c r="E28" s="31" t="s">
        <v>219</v>
      </c>
      <c r="F28" s="48"/>
      <c r="G28" s="32" t="s">
        <v>458</v>
      </c>
      <c r="H28" s="63"/>
      <c r="I28" s="28" t="s">
        <v>203</v>
      </c>
      <c r="J28" s="44" t="s">
        <v>402</v>
      </c>
      <c r="K28" s="44"/>
      <c r="L28" s="25"/>
      <c r="M28" s="57" t="s">
        <v>507</v>
      </c>
      <c r="N28" s="26"/>
      <c r="O28" s="48">
        <v>4</v>
      </c>
      <c r="P28" s="31" t="s">
        <v>219</v>
      </c>
      <c r="Q28" s="48"/>
      <c r="R28" s="32" t="s">
        <v>202</v>
      </c>
      <c r="S28" s="63"/>
      <c r="T28" s="28" t="s">
        <v>203</v>
      </c>
      <c r="U28" s="44" t="s">
        <v>402</v>
      </c>
      <c r="V28" s="44"/>
      <c r="W28" s="48"/>
      <c r="X28" s="4"/>
    </row>
    <row r="29" spans="2:24" s="1" customFormat="1" ht="16.5" customHeight="1" x14ac:dyDescent="0.3">
      <c r="B29" s="1" t="s">
        <v>480</v>
      </c>
      <c r="C29" s="21"/>
      <c r="D29" s="48">
        <v>5</v>
      </c>
      <c r="E29" s="31" t="s">
        <v>220</v>
      </c>
      <c r="F29" s="55"/>
      <c r="G29" s="32" t="s">
        <v>473</v>
      </c>
      <c r="H29" s="63" t="s">
        <v>472</v>
      </c>
      <c r="I29" s="28" t="s">
        <v>203</v>
      </c>
      <c r="J29" s="44" t="s">
        <v>403</v>
      </c>
      <c r="K29" s="44"/>
      <c r="L29" s="57"/>
      <c r="M29" s="57" t="s">
        <v>507</v>
      </c>
      <c r="N29" s="26"/>
      <c r="O29" s="48">
        <v>5</v>
      </c>
      <c r="P29" s="31" t="s">
        <v>220</v>
      </c>
      <c r="Q29" s="55"/>
      <c r="R29" s="32" t="s">
        <v>201</v>
      </c>
      <c r="S29" s="63">
        <v>15</v>
      </c>
      <c r="T29" s="28" t="s">
        <v>203</v>
      </c>
      <c r="U29" s="44" t="s">
        <v>403</v>
      </c>
      <c r="V29" s="44"/>
      <c r="W29" s="55"/>
      <c r="X29" s="4"/>
    </row>
    <row r="30" spans="2:24" s="1" customFormat="1" ht="16.5" customHeight="1" x14ac:dyDescent="0.3">
      <c r="B30" s="1" t="s">
        <v>480</v>
      </c>
      <c r="C30" s="21"/>
      <c r="D30" s="48">
        <v>6</v>
      </c>
      <c r="E30" s="31" t="s">
        <v>221</v>
      </c>
      <c r="F30" s="55"/>
      <c r="G30" s="32" t="s">
        <v>458</v>
      </c>
      <c r="H30" s="63"/>
      <c r="I30" s="28" t="s">
        <v>203</v>
      </c>
      <c r="J30" s="44" t="s">
        <v>404</v>
      </c>
      <c r="K30" s="44"/>
      <c r="L30" s="57"/>
      <c r="M30" s="57" t="s">
        <v>507</v>
      </c>
      <c r="N30" s="26"/>
      <c r="O30" s="48">
        <v>6</v>
      </c>
      <c r="P30" s="31" t="s">
        <v>221</v>
      </c>
      <c r="Q30" s="55"/>
      <c r="R30" s="32" t="s">
        <v>202</v>
      </c>
      <c r="S30" s="63"/>
      <c r="T30" s="28" t="s">
        <v>203</v>
      </c>
      <c r="U30" s="44" t="s">
        <v>404</v>
      </c>
      <c r="V30" s="44"/>
      <c r="W30" s="55"/>
      <c r="X30" s="4"/>
    </row>
    <row r="31" spans="2:24" s="1" customFormat="1" ht="16.5" customHeight="1" x14ac:dyDescent="0.3">
      <c r="B31" s="1" t="s">
        <v>480</v>
      </c>
      <c r="C31" s="21"/>
      <c r="D31" s="48">
        <v>7</v>
      </c>
      <c r="E31" s="31" t="s">
        <v>222</v>
      </c>
      <c r="F31" s="55"/>
      <c r="G31" s="32" t="s">
        <v>473</v>
      </c>
      <c r="H31" s="63" t="s">
        <v>472</v>
      </c>
      <c r="I31" s="28" t="s">
        <v>203</v>
      </c>
      <c r="J31" s="44" t="s">
        <v>405</v>
      </c>
      <c r="K31" s="44"/>
      <c r="L31" s="57"/>
      <c r="M31" s="57" t="s">
        <v>507</v>
      </c>
      <c r="N31" s="26"/>
      <c r="O31" s="48">
        <v>7</v>
      </c>
      <c r="P31" s="31" t="s">
        <v>222</v>
      </c>
      <c r="Q31" s="55"/>
      <c r="R31" s="32" t="s">
        <v>201</v>
      </c>
      <c r="S31" s="63">
        <v>15</v>
      </c>
      <c r="T31" s="28" t="s">
        <v>203</v>
      </c>
      <c r="U31" s="44" t="s">
        <v>405</v>
      </c>
      <c r="V31" s="44"/>
      <c r="W31" s="55"/>
      <c r="X31" s="4"/>
    </row>
    <row r="32" spans="2:24" s="1" customFormat="1" ht="16.5" customHeight="1" x14ac:dyDescent="0.3">
      <c r="B32" s="1" t="s">
        <v>480</v>
      </c>
      <c r="C32" s="21"/>
      <c r="D32" s="48">
        <v>8</v>
      </c>
      <c r="E32" s="31" t="s">
        <v>223</v>
      </c>
      <c r="F32" s="55"/>
      <c r="G32" s="32" t="s">
        <v>473</v>
      </c>
      <c r="H32" s="63" t="s">
        <v>472</v>
      </c>
      <c r="I32" s="28" t="s">
        <v>203</v>
      </c>
      <c r="J32" s="44" t="s">
        <v>406</v>
      </c>
      <c r="K32" s="44"/>
      <c r="L32" s="57"/>
      <c r="M32" s="57" t="s">
        <v>507</v>
      </c>
      <c r="N32" s="26"/>
      <c r="O32" s="48">
        <v>8</v>
      </c>
      <c r="P32" s="31" t="s">
        <v>223</v>
      </c>
      <c r="Q32" s="55"/>
      <c r="R32" s="32" t="s">
        <v>201</v>
      </c>
      <c r="S32" s="63">
        <v>15</v>
      </c>
      <c r="T32" s="28" t="s">
        <v>203</v>
      </c>
      <c r="U32" s="44" t="s">
        <v>406</v>
      </c>
      <c r="V32" s="44"/>
      <c r="W32" s="55"/>
      <c r="X32" s="4"/>
    </row>
    <row r="33" spans="2:24" s="1" customFormat="1" ht="16.5" customHeight="1" x14ac:dyDescent="0.3">
      <c r="B33" s="1" t="s">
        <v>480</v>
      </c>
      <c r="C33" s="21"/>
      <c r="D33" s="48">
        <v>9</v>
      </c>
      <c r="E33" s="31" t="s">
        <v>224</v>
      </c>
      <c r="F33" s="55"/>
      <c r="G33" s="32" t="s">
        <v>457</v>
      </c>
      <c r="H33" s="63">
        <v>20</v>
      </c>
      <c r="I33" s="28" t="s">
        <v>203</v>
      </c>
      <c r="J33" s="44" t="s">
        <v>407</v>
      </c>
      <c r="K33" s="44" t="s">
        <v>443</v>
      </c>
      <c r="L33" s="57"/>
      <c r="M33" s="57" t="s">
        <v>507</v>
      </c>
      <c r="N33" s="26"/>
      <c r="O33" s="48">
        <v>9</v>
      </c>
      <c r="P33" s="31" t="s">
        <v>224</v>
      </c>
      <c r="Q33" s="55"/>
      <c r="R33" s="32" t="s">
        <v>207</v>
      </c>
      <c r="S33" s="63">
        <v>20</v>
      </c>
      <c r="T33" s="28" t="s">
        <v>203</v>
      </c>
      <c r="U33" s="44" t="s">
        <v>407</v>
      </c>
      <c r="V33" s="44" t="s">
        <v>443</v>
      </c>
      <c r="W33" s="55"/>
      <c r="X33" s="4"/>
    </row>
    <row r="34" spans="2:24" s="1" customFormat="1" ht="16.5" customHeight="1" x14ac:dyDescent="0.3">
      <c r="B34" s="1" t="s">
        <v>480</v>
      </c>
      <c r="C34" s="21"/>
      <c r="D34" s="48">
        <v>10</v>
      </c>
      <c r="E34" s="31" t="s">
        <v>225</v>
      </c>
      <c r="F34" s="55"/>
      <c r="G34" s="32" t="s">
        <v>473</v>
      </c>
      <c r="H34" s="63" t="s">
        <v>472</v>
      </c>
      <c r="I34" s="28" t="s">
        <v>203</v>
      </c>
      <c r="J34" s="44" t="s">
        <v>408</v>
      </c>
      <c r="K34" s="44"/>
      <c r="L34" s="57"/>
      <c r="M34" s="57" t="s">
        <v>507</v>
      </c>
      <c r="N34" s="26"/>
      <c r="O34" s="48">
        <v>10</v>
      </c>
      <c r="P34" s="31" t="s">
        <v>225</v>
      </c>
      <c r="Q34" s="55"/>
      <c r="R34" s="32" t="s">
        <v>201</v>
      </c>
      <c r="S34" s="63">
        <v>15</v>
      </c>
      <c r="T34" s="28" t="s">
        <v>203</v>
      </c>
      <c r="U34" s="44" t="s">
        <v>408</v>
      </c>
      <c r="V34" s="44"/>
      <c r="W34" s="55"/>
      <c r="X34" s="4"/>
    </row>
    <row r="35" spans="2:24" s="1" customFormat="1" ht="16.5" customHeight="1" x14ac:dyDescent="0.3">
      <c r="B35" s="1" t="s">
        <v>480</v>
      </c>
      <c r="C35" s="21"/>
      <c r="D35" s="48">
        <v>11</v>
      </c>
      <c r="E35" s="31" t="s">
        <v>226</v>
      </c>
      <c r="F35" s="55"/>
      <c r="G35" s="32" t="s">
        <v>457</v>
      </c>
      <c r="H35" s="63">
        <v>1</v>
      </c>
      <c r="I35" s="28" t="s">
        <v>203</v>
      </c>
      <c r="J35" s="62"/>
      <c r="K35" s="44"/>
      <c r="L35" s="57"/>
      <c r="M35" s="57" t="s">
        <v>507</v>
      </c>
      <c r="N35" s="26"/>
      <c r="O35" s="48">
        <v>11</v>
      </c>
      <c r="P35" s="31" t="s">
        <v>226</v>
      </c>
      <c r="Q35" s="55"/>
      <c r="R35" s="32" t="s">
        <v>207</v>
      </c>
      <c r="S35" s="63">
        <v>1</v>
      </c>
      <c r="T35" s="28" t="s">
        <v>203</v>
      </c>
      <c r="U35" s="62"/>
      <c r="V35" s="44"/>
      <c r="W35" s="55"/>
      <c r="X35" s="4"/>
    </row>
    <row r="36" spans="2:24" s="1" customFormat="1" ht="16.5" customHeight="1" x14ac:dyDescent="0.3">
      <c r="B36" s="1" t="s">
        <v>480</v>
      </c>
      <c r="C36" s="21"/>
      <c r="D36" s="48">
        <v>12</v>
      </c>
      <c r="E36" s="31" t="s">
        <v>227</v>
      </c>
      <c r="F36" s="55"/>
      <c r="G36" s="32" t="s">
        <v>457</v>
      </c>
      <c r="H36" s="63">
        <v>30</v>
      </c>
      <c r="I36" s="28" t="s">
        <v>203</v>
      </c>
      <c r="J36" s="44" t="s">
        <v>409</v>
      </c>
      <c r="K36" s="44" t="s">
        <v>444</v>
      </c>
      <c r="L36" s="57"/>
      <c r="M36" s="57" t="s">
        <v>507</v>
      </c>
      <c r="N36" s="26"/>
      <c r="O36" s="48">
        <v>12</v>
      </c>
      <c r="P36" s="31" t="s">
        <v>227</v>
      </c>
      <c r="Q36" s="55"/>
      <c r="R36" s="32" t="s">
        <v>207</v>
      </c>
      <c r="S36" s="63">
        <v>30</v>
      </c>
      <c r="T36" s="28" t="s">
        <v>203</v>
      </c>
      <c r="U36" s="44" t="s">
        <v>409</v>
      </c>
      <c r="V36" s="44" t="s">
        <v>444</v>
      </c>
      <c r="W36" s="55"/>
      <c r="X36" s="4"/>
    </row>
    <row r="37" spans="2:24" s="1" customFormat="1" ht="16.5" customHeight="1" x14ac:dyDescent="0.3">
      <c r="B37" s="1" t="s">
        <v>480</v>
      </c>
      <c r="C37" s="21"/>
      <c r="D37" s="48">
        <v>13</v>
      </c>
      <c r="E37" s="31" t="s">
        <v>228</v>
      </c>
      <c r="F37" s="55"/>
      <c r="G37" s="32" t="s">
        <v>457</v>
      </c>
      <c r="H37" s="63">
        <v>250</v>
      </c>
      <c r="I37" s="28" t="s">
        <v>183</v>
      </c>
      <c r="J37" s="44" t="s">
        <v>410</v>
      </c>
      <c r="K37" s="44"/>
      <c r="L37" s="57"/>
      <c r="M37" s="57" t="s">
        <v>507</v>
      </c>
      <c r="N37" s="26"/>
      <c r="O37" s="48">
        <v>13</v>
      </c>
      <c r="P37" s="31" t="s">
        <v>228</v>
      </c>
      <c r="Q37" s="55"/>
      <c r="R37" s="32" t="s">
        <v>207</v>
      </c>
      <c r="S37" s="63">
        <v>250</v>
      </c>
      <c r="T37" s="28" t="s">
        <v>183</v>
      </c>
      <c r="U37" s="44" t="s">
        <v>410</v>
      </c>
      <c r="V37" s="44"/>
      <c r="W37" s="55"/>
      <c r="X37" s="4"/>
    </row>
    <row r="38" spans="2:24" s="1" customFormat="1" ht="16.5" customHeight="1" x14ac:dyDescent="0.3">
      <c r="B38" s="1" t="s">
        <v>480</v>
      </c>
      <c r="C38" s="21"/>
      <c r="D38" s="48">
        <v>14</v>
      </c>
      <c r="E38" s="31" t="s">
        <v>229</v>
      </c>
      <c r="F38" s="55"/>
      <c r="G38" s="32" t="s">
        <v>458</v>
      </c>
      <c r="H38" s="63"/>
      <c r="I38" s="28" t="s">
        <v>183</v>
      </c>
      <c r="J38" s="44" t="s">
        <v>411</v>
      </c>
      <c r="K38" s="44"/>
      <c r="L38" s="57"/>
      <c r="M38" s="57" t="s">
        <v>507</v>
      </c>
      <c r="N38" s="26"/>
      <c r="O38" s="48">
        <v>14</v>
      </c>
      <c r="P38" s="31" t="s">
        <v>229</v>
      </c>
      <c r="Q38" s="55"/>
      <c r="R38" s="32" t="s">
        <v>202</v>
      </c>
      <c r="S38" s="63"/>
      <c r="T38" s="28" t="s">
        <v>183</v>
      </c>
      <c r="U38" s="44" t="s">
        <v>411</v>
      </c>
      <c r="V38" s="44"/>
      <c r="W38" s="55"/>
      <c r="X38" s="4"/>
    </row>
    <row r="39" spans="2:24" s="1" customFormat="1" ht="16.5" customHeight="1" x14ac:dyDescent="0.3">
      <c r="B39" s="1" t="s">
        <v>480</v>
      </c>
      <c r="C39" s="21"/>
      <c r="D39" s="48">
        <v>15</v>
      </c>
      <c r="E39" s="31" t="s">
        <v>230</v>
      </c>
      <c r="F39" s="55"/>
      <c r="G39" s="32" t="s">
        <v>458</v>
      </c>
      <c r="H39" s="63"/>
      <c r="I39" s="28" t="s">
        <v>183</v>
      </c>
      <c r="J39" s="44" t="s">
        <v>412</v>
      </c>
      <c r="K39" s="44"/>
      <c r="L39" s="57"/>
      <c r="M39" s="57" t="s">
        <v>507</v>
      </c>
      <c r="N39" s="26"/>
      <c r="O39" s="48">
        <v>15</v>
      </c>
      <c r="P39" s="31" t="s">
        <v>230</v>
      </c>
      <c r="Q39" s="55"/>
      <c r="R39" s="32" t="s">
        <v>202</v>
      </c>
      <c r="S39" s="63"/>
      <c r="T39" s="28" t="s">
        <v>183</v>
      </c>
      <c r="U39" s="44" t="s">
        <v>412</v>
      </c>
      <c r="V39" s="44"/>
      <c r="W39" s="55"/>
      <c r="X39" s="4"/>
    </row>
    <row r="40" spans="2:24" s="1" customFormat="1" ht="16.5" customHeight="1" x14ac:dyDescent="0.3">
      <c r="B40" s="1" t="s">
        <v>480</v>
      </c>
      <c r="C40" s="21"/>
      <c r="D40" s="48">
        <v>16</v>
      </c>
      <c r="E40" s="31" t="s">
        <v>231</v>
      </c>
      <c r="F40" s="55"/>
      <c r="G40" s="32" t="s">
        <v>458</v>
      </c>
      <c r="H40" s="63"/>
      <c r="I40" s="28" t="s">
        <v>183</v>
      </c>
      <c r="J40" s="44" t="s">
        <v>413</v>
      </c>
      <c r="K40" s="44" t="s">
        <v>445</v>
      </c>
      <c r="L40" s="57"/>
      <c r="M40" s="57" t="s">
        <v>507</v>
      </c>
      <c r="N40" s="26"/>
      <c r="O40" s="48">
        <v>16</v>
      </c>
      <c r="P40" s="31" t="s">
        <v>231</v>
      </c>
      <c r="Q40" s="55"/>
      <c r="R40" s="32" t="s">
        <v>202</v>
      </c>
      <c r="S40" s="63"/>
      <c r="T40" s="28" t="s">
        <v>183</v>
      </c>
      <c r="U40" s="44" t="s">
        <v>413</v>
      </c>
      <c r="V40" s="44" t="s">
        <v>445</v>
      </c>
      <c r="W40" s="55"/>
      <c r="X40" s="4"/>
    </row>
    <row r="41" spans="2:24" s="1" customFormat="1" ht="16.5" customHeight="1" x14ac:dyDescent="0.3">
      <c r="B41" s="1" t="s">
        <v>480</v>
      </c>
      <c r="C41" s="21"/>
      <c r="D41" s="48">
        <v>17</v>
      </c>
      <c r="E41" s="31" t="s">
        <v>232</v>
      </c>
      <c r="F41" s="55"/>
      <c r="G41" s="32" t="s">
        <v>457</v>
      </c>
      <c r="H41" s="63">
        <v>30</v>
      </c>
      <c r="I41" s="28" t="s">
        <v>183</v>
      </c>
      <c r="J41" s="62"/>
      <c r="K41" s="44"/>
      <c r="L41" s="57"/>
      <c r="M41" s="57" t="s">
        <v>507</v>
      </c>
      <c r="N41" s="26"/>
      <c r="O41" s="48">
        <v>17</v>
      </c>
      <c r="P41" s="31" t="s">
        <v>232</v>
      </c>
      <c r="Q41" s="55"/>
      <c r="R41" s="32" t="s">
        <v>207</v>
      </c>
      <c r="S41" s="63">
        <v>30</v>
      </c>
      <c r="T41" s="28" t="s">
        <v>183</v>
      </c>
      <c r="U41" s="62"/>
      <c r="V41" s="44"/>
      <c r="W41" s="55"/>
      <c r="X41" s="4"/>
    </row>
    <row r="42" spans="2:24" s="1" customFormat="1" ht="16.5" customHeight="1" x14ac:dyDescent="0.3">
      <c r="B42" s="1" t="s">
        <v>480</v>
      </c>
      <c r="C42" s="21"/>
      <c r="D42" s="48">
        <v>18</v>
      </c>
      <c r="E42" s="31" t="s">
        <v>233</v>
      </c>
      <c r="F42" s="55"/>
      <c r="G42" s="32" t="s">
        <v>473</v>
      </c>
      <c r="H42" s="63" t="s">
        <v>472</v>
      </c>
      <c r="I42" s="28" t="s">
        <v>183</v>
      </c>
      <c r="J42" s="62"/>
      <c r="K42" s="44"/>
      <c r="L42" s="57"/>
      <c r="M42" s="57" t="s">
        <v>507</v>
      </c>
      <c r="N42" s="26"/>
      <c r="O42" s="48">
        <v>18</v>
      </c>
      <c r="P42" s="31" t="s">
        <v>233</v>
      </c>
      <c r="Q42" s="55"/>
      <c r="R42" s="32" t="s">
        <v>201</v>
      </c>
      <c r="S42" s="63">
        <v>15</v>
      </c>
      <c r="T42" s="28" t="s">
        <v>183</v>
      </c>
      <c r="U42" s="62"/>
      <c r="V42" s="44"/>
      <c r="W42" s="55"/>
      <c r="X42" s="4"/>
    </row>
    <row r="43" spans="2:24" s="1" customFormat="1" ht="16.5" customHeight="1" x14ac:dyDescent="0.3">
      <c r="B43" s="1" t="s">
        <v>480</v>
      </c>
      <c r="C43" s="21"/>
      <c r="D43" s="48">
        <v>19</v>
      </c>
      <c r="E43" s="31" t="s">
        <v>234</v>
      </c>
      <c r="F43" s="55"/>
      <c r="G43" s="32" t="s">
        <v>473</v>
      </c>
      <c r="H43" s="63" t="s">
        <v>472</v>
      </c>
      <c r="I43" s="28" t="s">
        <v>183</v>
      </c>
      <c r="J43" s="62"/>
      <c r="K43" s="44"/>
      <c r="L43" s="57"/>
      <c r="M43" s="57" t="s">
        <v>507</v>
      </c>
      <c r="N43" s="26"/>
      <c r="O43" s="48">
        <v>19</v>
      </c>
      <c r="P43" s="31" t="s">
        <v>234</v>
      </c>
      <c r="Q43" s="55"/>
      <c r="R43" s="32" t="s">
        <v>201</v>
      </c>
      <c r="S43" s="63">
        <v>15</v>
      </c>
      <c r="T43" s="28" t="s">
        <v>183</v>
      </c>
      <c r="U43" s="62"/>
      <c r="V43" s="44"/>
      <c r="W43" s="55"/>
      <c r="X43" s="4"/>
    </row>
    <row r="44" spans="2:24" s="1" customFormat="1" ht="16.5" customHeight="1" x14ac:dyDescent="0.3">
      <c r="B44" s="1" t="s">
        <v>480</v>
      </c>
      <c r="C44" s="21"/>
      <c r="D44" s="48">
        <v>20</v>
      </c>
      <c r="E44" s="31" t="s">
        <v>235</v>
      </c>
      <c r="F44" s="55"/>
      <c r="G44" s="32" t="s">
        <v>473</v>
      </c>
      <c r="H44" s="63" t="s">
        <v>472</v>
      </c>
      <c r="I44" s="28" t="s">
        <v>183</v>
      </c>
      <c r="J44" s="62"/>
      <c r="K44" s="44"/>
      <c r="L44" s="57"/>
      <c r="M44" s="57" t="s">
        <v>507</v>
      </c>
      <c r="N44" s="26"/>
      <c r="O44" s="48">
        <v>20</v>
      </c>
      <c r="P44" s="31" t="s">
        <v>235</v>
      </c>
      <c r="Q44" s="55"/>
      <c r="R44" s="32" t="s">
        <v>201</v>
      </c>
      <c r="S44" s="63">
        <v>15</v>
      </c>
      <c r="T44" s="28" t="s">
        <v>183</v>
      </c>
      <c r="U44" s="62"/>
      <c r="V44" s="44"/>
      <c r="W44" s="55"/>
      <c r="X44" s="4"/>
    </row>
    <row r="45" spans="2:24" s="1" customFormat="1" ht="16.5" customHeight="1" x14ac:dyDescent="0.3">
      <c r="B45" s="1" t="s">
        <v>480</v>
      </c>
      <c r="C45" s="21"/>
      <c r="D45" s="48">
        <v>21</v>
      </c>
      <c r="E45" s="31" t="s">
        <v>236</v>
      </c>
      <c r="F45" s="55"/>
      <c r="G45" s="32" t="s">
        <v>473</v>
      </c>
      <c r="H45" s="63" t="s">
        <v>472</v>
      </c>
      <c r="I45" s="28" t="s">
        <v>183</v>
      </c>
      <c r="J45" s="62"/>
      <c r="K45" s="44"/>
      <c r="L45" s="57"/>
      <c r="M45" s="57" t="s">
        <v>507</v>
      </c>
      <c r="N45" s="26"/>
      <c r="O45" s="48">
        <v>21</v>
      </c>
      <c r="P45" s="31" t="s">
        <v>236</v>
      </c>
      <c r="Q45" s="55"/>
      <c r="R45" s="32" t="s">
        <v>201</v>
      </c>
      <c r="S45" s="63" t="s">
        <v>395</v>
      </c>
      <c r="T45" s="28" t="s">
        <v>183</v>
      </c>
      <c r="U45" s="62"/>
      <c r="V45" s="44"/>
      <c r="W45" s="55"/>
      <c r="X45" s="4"/>
    </row>
    <row r="46" spans="2:24" s="1" customFormat="1" ht="16.5" customHeight="1" x14ac:dyDescent="0.3">
      <c r="B46" s="1" t="s">
        <v>480</v>
      </c>
      <c r="C46" s="21"/>
      <c r="D46" s="48">
        <v>22</v>
      </c>
      <c r="E46" s="31" t="s">
        <v>237</v>
      </c>
      <c r="F46" s="55"/>
      <c r="G46" s="32" t="s">
        <v>473</v>
      </c>
      <c r="H46" s="63" t="s">
        <v>472</v>
      </c>
      <c r="I46" s="28" t="s">
        <v>183</v>
      </c>
      <c r="J46" s="62"/>
      <c r="K46" s="44"/>
      <c r="L46" s="57"/>
      <c r="M46" s="57" t="s">
        <v>507</v>
      </c>
      <c r="N46" s="26"/>
      <c r="O46" s="48">
        <v>22</v>
      </c>
      <c r="P46" s="31" t="s">
        <v>237</v>
      </c>
      <c r="Q46" s="55"/>
      <c r="R46" s="32" t="s">
        <v>201</v>
      </c>
      <c r="S46" s="63">
        <v>15</v>
      </c>
      <c r="T46" s="28" t="s">
        <v>183</v>
      </c>
      <c r="U46" s="62"/>
      <c r="V46" s="44"/>
      <c r="W46" s="55"/>
      <c r="X46" s="4"/>
    </row>
    <row r="47" spans="2:24" s="1" customFormat="1" ht="16.5" customHeight="1" x14ac:dyDescent="0.3">
      <c r="B47" s="1" t="s">
        <v>480</v>
      </c>
      <c r="C47" s="21"/>
      <c r="D47" s="48">
        <v>23</v>
      </c>
      <c r="E47" s="31" t="s">
        <v>238</v>
      </c>
      <c r="F47" s="55"/>
      <c r="G47" s="32" t="s">
        <v>473</v>
      </c>
      <c r="H47" s="63" t="s">
        <v>472</v>
      </c>
      <c r="I47" s="28" t="s">
        <v>183</v>
      </c>
      <c r="J47" s="62"/>
      <c r="K47" s="44"/>
      <c r="L47" s="57"/>
      <c r="M47" s="57" t="s">
        <v>507</v>
      </c>
      <c r="N47" s="26"/>
      <c r="O47" s="48">
        <v>23</v>
      </c>
      <c r="P47" s="31" t="s">
        <v>238</v>
      </c>
      <c r="Q47" s="55"/>
      <c r="R47" s="32" t="s">
        <v>201</v>
      </c>
      <c r="S47" s="63">
        <v>15</v>
      </c>
      <c r="T47" s="28" t="s">
        <v>183</v>
      </c>
      <c r="U47" s="62"/>
      <c r="V47" s="44"/>
      <c r="W47" s="55"/>
      <c r="X47" s="4"/>
    </row>
    <row r="48" spans="2:24" s="1" customFormat="1" ht="16.5" customHeight="1" x14ac:dyDescent="0.3">
      <c r="B48" s="1" t="s">
        <v>480</v>
      </c>
      <c r="C48" s="21"/>
      <c r="D48" s="48">
        <v>24</v>
      </c>
      <c r="E48" s="31" t="s">
        <v>239</v>
      </c>
      <c r="F48" s="55"/>
      <c r="G48" s="32" t="s">
        <v>457</v>
      </c>
      <c r="H48" s="63">
        <v>20</v>
      </c>
      <c r="I48" s="28" t="s">
        <v>183</v>
      </c>
      <c r="J48" s="62"/>
      <c r="K48" s="44"/>
      <c r="L48" s="57"/>
      <c r="M48" s="57" t="s">
        <v>507</v>
      </c>
      <c r="N48" s="26"/>
      <c r="O48" s="48">
        <v>24</v>
      </c>
      <c r="P48" s="31" t="s">
        <v>239</v>
      </c>
      <c r="Q48" s="55"/>
      <c r="R48" s="32" t="s">
        <v>207</v>
      </c>
      <c r="S48" s="63">
        <v>20</v>
      </c>
      <c r="T48" s="28" t="s">
        <v>183</v>
      </c>
      <c r="U48" s="62"/>
      <c r="V48" s="44"/>
      <c r="W48" s="55"/>
      <c r="X48" s="4"/>
    </row>
    <row r="49" spans="2:24" s="1" customFormat="1" ht="16.5" customHeight="1" x14ac:dyDescent="0.3">
      <c r="B49" s="1" t="s">
        <v>480</v>
      </c>
      <c r="C49" s="21"/>
      <c r="D49" s="48">
        <v>25</v>
      </c>
      <c r="E49" s="31" t="s">
        <v>240</v>
      </c>
      <c r="F49" s="55"/>
      <c r="G49" s="32" t="s">
        <v>473</v>
      </c>
      <c r="H49" s="63" t="s">
        <v>472</v>
      </c>
      <c r="I49" s="28" t="s">
        <v>183</v>
      </c>
      <c r="J49" s="62"/>
      <c r="K49" s="44"/>
      <c r="L49" s="57"/>
      <c r="M49" s="57" t="s">
        <v>507</v>
      </c>
      <c r="N49" s="26"/>
      <c r="O49" s="48">
        <v>25</v>
      </c>
      <c r="P49" s="31" t="s">
        <v>240</v>
      </c>
      <c r="Q49" s="55"/>
      <c r="R49" s="32" t="s">
        <v>201</v>
      </c>
      <c r="S49" s="63">
        <v>15</v>
      </c>
      <c r="T49" s="28" t="s">
        <v>183</v>
      </c>
      <c r="U49" s="62"/>
      <c r="V49" s="44"/>
      <c r="W49" s="55"/>
      <c r="X49" s="4"/>
    </row>
    <row r="50" spans="2:24" s="1" customFormat="1" ht="16.5" customHeight="1" x14ac:dyDescent="0.3">
      <c r="B50" s="1" t="s">
        <v>480</v>
      </c>
      <c r="C50" s="21"/>
      <c r="D50" s="48">
        <v>26</v>
      </c>
      <c r="E50" s="31" t="s">
        <v>241</v>
      </c>
      <c r="F50" s="55"/>
      <c r="G50" s="32" t="s">
        <v>458</v>
      </c>
      <c r="H50" s="63"/>
      <c r="I50" s="28" t="s">
        <v>183</v>
      </c>
      <c r="J50" s="62"/>
      <c r="K50" s="44"/>
      <c r="L50" s="57"/>
      <c r="M50" s="57" t="s">
        <v>507</v>
      </c>
      <c r="N50" s="26"/>
      <c r="O50" s="48">
        <v>26</v>
      </c>
      <c r="P50" s="31" t="s">
        <v>241</v>
      </c>
      <c r="Q50" s="55"/>
      <c r="R50" s="32" t="s">
        <v>202</v>
      </c>
      <c r="S50" s="63"/>
      <c r="T50" s="28" t="s">
        <v>183</v>
      </c>
      <c r="U50" s="62"/>
      <c r="V50" s="44"/>
      <c r="W50" s="55"/>
      <c r="X50" s="4"/>
    </row>
    <row r="51" spans="2:24" s="1" customFormat="1" ht="16.5" customHeight="1" x14ac:dyDescent="0.3">
      <c r="B51" s="1" t="s">
        <v>480</v>
      </c>
      <c r="C51" s="21"/>
      <c r="D51" s="48">
        <v>27</v>
      </c>
      <c r="E51" s="31" t="s">
        <v>242</v>
      </c>
      <c r="F51" s="55"/>
      <c r="G51" s="32" t="s">
        <v>473</v>
      </c>
      <c r="H51" s="63" t="s">
        <v>472</v>
      </c>
      <c r="I51" s="28" t="s">
        <v>183</v>
      </c>
      <c r="J51" s="62"/>
      <c r="K51" s="44"/>
      <c r="L51" s="57"/>
      <c r="M51" s="57" t="s">
        <v>507</v>
      </c>
      <c r="N51" s="26"/>
      <c r="O51" s="48">
        <v>27</v>
      </c>
      <c r="P51" s="31" t="s">
        <v>242</v>
      </c>
      <c r="Q51" s="55"/>
      <c r="R51" s="32" t="s">
        <v>201</v>
      </c>
      <c r="S51" s="63" t="s">
        <v>396</v>
      </c>
      <c r="T51" s="28" t="s">
        <v>183</v>
      </c>
      <c r="U51" s="62"/>
      <c r="V51" s="44"/>
      <c r="W51" s="55"/>
      <c r="X51" s="4"/>
    </row>
    <row r="52" spans="2:24" s="1" customFormat="1" ht="16.5" customHeight="1" x14ac:dyDescent="0.3">
      <c r="B52" s="1" t="s">
        <v>480</v>
      </c>
      <c r="C52" s="21"/>
      <c r="D52" s="48">
        <v>28</v>
      </c>
      <c r="E52" s="31" t="s">
        <v>243</v>
      </c>
      <c r="F52" s="55"/>
      <c r="G52" s="32" t="s">
        <v>457</v>
      </c>
      <c r="H52" s="63">
        <v>30</v>
      </c>
      <c r="I52" s="28" t="s">
        <v>183</v>
      </c>
      <c r="J52" s="62"/>
      <c r="K52" s="44"/>
      <c r="L52" s="57"/>
      <c r="M52" s="57" t="s">
        <v>507</v>
      </c>
      <c r="N52" s="26"/>
      <c r="O52" s="48">
        <v>28</v>
      </c>
      <c r="P52" s="31" t="s">
        <v>243</v>
      </c>
      <c r="Q52" s="55"/>
      <c r="R52" s="32" t="s">
        <v>207</v>
      </c>
      <c r="S52" s="63">
        <v>30</v>
      </c>
      <c r="T52" s="28" t="s">
        <v>183</v>
      </c>
      <c r="U52" s="62"/>
      <c r="V52" s="44"/>
      <c r="W52" s="55"/>
      <c r="X52" s="4"/>
    </row>
    <row r="53" spans="2:24" s="1" customFormat="1" ht="16.5" customHeight="1" x14ac:dyDescent="0.3">
      <c r="B53" s="1" t="s">
        <v>480</v>
      </c>
      <c r="C53" s="21"/>
      <c r="D53" s="48">
        <v>29</v>
      </c>
      <c r="E53" s="31" t="s">
        <v>244</v>
      </c>
      <c r="F53" s="55"/>
      <c r="G53" s="32" t="s">
        <v>473</v>
      </c>
      <c r="H53" s="63" t="s">
        <v>472</v>
      </c>
      <c r="I53" s="28" t="s">
        <v>183</v>
      </c>
      <c r="J53" s="62"/>
      <c r="K53" s="44"/>
      <c r="L53" s="57"/>
      <c r="M53" s="57" t="s">
        <v>507</v>
      </c>
      <c r="N53" s="26"/>
      <c r="O53" s="48">
        <v>29</v>
      </c>
      <c r="P53" s="31" t="s">
        <v>244</v>
      </c>
      <c r="Q53" s="55"/>
      <c r="R53" s="32" t="s">
        <v>201</v>
      </c>
      <c r="S53" s="63">
        <v>15</v>
      </c>
      <c r="T53" s="28" t="s">
        <v>183</v>
      </c>
      <c r="U53" s="62"/>
      <c r="V53" s="44"/>
      <c r="W53" s="55"/>
      <c r="X53" s="4"/>
    </row>
    <row r="54" spans="2:24" s="1" customFormat="1" ht="16.5" customHeight="1" x14ac:dyDescent="0.3">
      <c r="B54" s="1" t="s">
        <v>480</v>
      </c>
      <c r="C54" s="21"/>
      <c r="D54" s="48">
        <v>30</v>
      </c>
      <c r="E54" s="31" t="s">
        <v>245</v>
      </c>
      <c r="F54" s="55"/>
      <c r="G54" s="32" t="s">
        <v>458</v>
      </c>
      <c r="H54" s="63"/>
      <c r="I54" s="28" t="s">
        <v>183</v>
      </c>
      <c r="J54" s="62"/>
      <c r="K54" s="44"/>
      <c r="L54" s="57"/>
      <c r="M54" s="57" t="s">
        <v>507</v>
      </c>
      <c r="N54" s="26"/>
      <c r="O54" s="48">
        <v>30</v>
      </c>
      <c r="P54" s="31" t="s">
        <v>245</v>
      </c>
      <c r="Q54" s="55"/>
      <c r="R54" s="32" t="s">
        <v>202</v>
      </c>
      <c r="S54" s="63"/>
      <c r="T54" s="28" t="s">
        <v>183</v>
      </c>
      <c r="U54" s="62"/>
      <c r="V54" s="44"/>
      <c r="W54" s="55"/>
      <c r="X54" s="4"/>
    </row>
    <row r="55" spans="2:24" s="1" customFormat="1" ht="16.5" customHeight="1" x14ac:dyDescent="0.3">
      <c r="B55" s="1" t="s">
        <v>480</v>
      </c>
      <c r="C55" s="21"/>
      <c r="D55" s="48">
        <v>31</v>
      </c>
      <c r="E55" s="31" t="s">
        <v>246</v>
      </c>
      <c r="F55" s="55"/>
      <c r="G55" s="32" t="s">
        <v>473</v>
      </c>
      <c r="H55" s="63" t="s">
        <v>472</v>
      </c>
      <c r="I55" s="28" t="s">
        <v>183</v>
      </c>
      <c r="J55" s="62"/>
      <c r="K55" s="44"/>
      <c r="L55" s="57"/>
      <c r="M55" s="57" t="s">
        <v>507</v>
      </c>
      <c r="N55" s="26"/>
      <c r="O55" s="48">
        <v>31</v>
      </c>
      <c r="P55" s="31" t="s">
        <v>246</v>
      </c>
      <c r="Q55" s="55"/>
      <c r="R55" s="32" t="s">
        <v>201</v>
      </c>
      <c r="S55" s="63" t="s">
        <v>396</v>
      </c>
      <c r="T55" s="28" t="s">
        <v>183</v>
      </c>
      <c r="U55" s="62"/>
      <c r="V55" s="44"/>
      <c r="W55" s="55"/>
      <c r="X55" s="4"/>
    </row>
    <row r="56" spans="2:24" s="1" customFormat="1" ht="16.5" customHeight="1" x14ac:dyDescent="0.3">
      <c r="B56" s="1" t="s">
        <v>480</v>
      </c>
      <c r="C56" s="21"/>
      <c r="D56" s="48">
        <v>32</v>
      </c>
      <c r="E56" s="31" t="s">
        <v>247</v>
      </c>
      <c r="F56" s="55"/>
      <c r="G56" s="32" t="s">
        <v>457</v>
      </c>
      <c r="H56" s="63">
        <v>1</v>
      </c>
      <c r="I56" s="28" t="s">
        <v>183</v>
      </c>
      <c r="J56" s="62"/>
      <c r="K56" s="44"/>
      <c r="L56" s="57"/>
      <c r="M56" s="57" t="s">
        <v>507</v>
      </c>
      <c r="N56" s="26"/>
      <c r="O56" s="48">
        <v>32</v>
      </c>
      <c r="P56" s="31" t="s">
        <v>247</v>
      </c>
      <c r="Q56" s="55"/>
      <c r="R56" s="32" t="s">
        <v>207</v>
      </c>
      <c r="S56" s="63">
        <v>1</v>
      </c>
      <c r="T56" s="28" t="s">
        <v>183</v>
      </c>
      <c r="U56" s="62"/>
      <c r="V56" s="44"/>
      <c r="W56" s="55"/>
      <c r="X56" s="4"/>
    </row>
    <row r="57" spans="2:24" s="1" customFormat="1" ht="16.5" customHeight="1" x14ac:dyDescent="0.3">
      <c r="B57" s="1" t="s">
        <v>480</v>
      </c>
      <c r="C57" s="21"/>
      <c r="D57" s="48">
        <v>33</v>
      </c>
      <c r="E57" s="31" t="s">
        <v>248</v>
      </c>
      <c r="F57" s="55"/>
      <c r="G57" s="32" t="s">
        <v>457</v>
      </c>
      <c r="H57" s="63">
        <v>1</v>
      </c>
      <c r="I57" s="28" t="s">
        <v>183</v>
      </c>
      <c r="J57" s="62"/>
      <c r="K57" s="44"/>
      <c r="L57" s="57"/>
      <c r="M57" s="57" t="s">
        <v>507</v>
      </c>
      <c r="N57" s="26"/>
      <c r="O57" s="48">
        <v>33</v>
      </c>
      <c r="P57" s="31" t="s">
        <v>248</v>
      </c>
      <c r="Q57" s="55"/>
      <c r="R57" s="32" t="s">
        <v>207</v>
      </c>
      <c r="S57" s="63">
        <v>1</v>
      </c>
      <c r="T57" s="28" t="s">
        <v>183</v>
      </c>
      <c r="U57" s="62"/>
      <c r="V57" s="44"/>
      <c r="W57" s="55"/>
      <c r="X57" s="4"/>
    </row>
    <row r="58" spans="2:24" s="1" customFormat="1" ht="16.5" customHeight="1" x14ac:dyDescent="0.3">
      <c r="B58" s="1" t="s">
        <v>480</v>
      </c>
      <c r="C58" s="21"/>
      <c r="D58" s="48">
        <v>34</v>
      </c>
      <c r="E58" s="31" t="s">
        <v>249</v>
      </c>
      <c r="F58" s="55"/>
      <c r="G58" s="32" t="s">
        <v>457</v>
      </c>
      <c r="H58" s="63">
        <v>240</v>
      </c>
      <c r="I58" s="28" t="s">
        <v>183</v>
      </c>
      <c r="J58" s="62"/>
      <c r="K58" s="44"/>
      <c r="L58" s="57"/>
      <c r="M58" s="57" t="s">
        <v>507</v>
      </c>
      <c r="N58" s="26"/>
      <c r="O58" s="48">
        <v>34</v>
      </c>
      <c r="P58" s="31" t="s">
        <v>249</v>
      </c>
      <c r="Q58" s="55"/>
      <c r="R58" s="32" t="s">
        <v>207</v>
      </c>
      <c r="S58" s="63">
        <v>240</v>
      </c>
      <c r="T58" s="28" t="s">
        <v>183</v>
      </c>
      <c r="U58" s="62"/>
      <c r="V58" s="44"/>
      <c r="W58" s="55"/>
      <c r="X58" s="4"/>
    </row>
    <row r="59" spans="2:24" s="1" customFormat="1" ht="16.5" customHeight="1" x14ac:dyDescent="0.3">
      <c r="B59" s="1" t="s">
        <v>480</v>
      </c>
      <c r="C59" s="21"/>
      <c r="D59" s="48">
        <v>35</v>
      </c>
      <c r="E59" s="31" t="s">
        <v>250</v>
      </c>
      <c r="F59" s="55"/>
      <c r="G59" s="32" t="s">
        <v>473</v>
      </c>
      <c r="H59" s="63" t="s">
        <v>472</v>
      </c>
      <c r="I59" s="28" t="s">
        <v>183</v>
      </c>
      <c r="J59" s="62"/>
      <c r="K59" s="44"/>
      <c r="L59" s="57"/>
      <c r="M59" s="57" t="s">
        <v>507</v>
      </c>
      <c r="N59" s="26"/>
      <c r="O59" s="48">
        <v>35</v>
      </c>
      <c r="P59" s="31" t="s">
        <v>250</v>
      </c>
      <c r="Q59" s="55"/>
      <c r="R59" s="32" t="s">
        <v>201</v>
      </c>
      <c r="S59" s="63" t="s">
        <v>397</v>
      </c>
      <c r="T59" s="28" t="s">
        <v>183</v>
      </c>
      <c r="U59" s="62"/>
      <c r="V59" s="44"/>
      <c r="W59" s="55"/>
      <c r="X59" s="4"/>
    </row>
    <row r="60" spans="2:24" s="1" customFormat="1" ht="16.5" customHeight="1" x14ac:dyDescent="0.3">
      <c r="B60" s="1" t="s">
        <v>480</v>
      </c>
      <c r="C60" s="21"/>
      <c r="D60" s="48">
        <v>36</v>
      </c>
      <c r="E60" s="31" t="s">
        <v>251</v>
      </c>
      <c r="F60" s="55"/>
      <c r="G60" s="32" t="s">
        <v>473</v>
      </c>
      <c r="H60" s="63" t="s">
        <v>472</v>
      </c>
      <c r="I60" s="28" t="s">
        <v>183</v>
      </c>
      <c r="J60" s="62"/>
      <c r="K60" s="44"/>
      <c r="L60" s="57"/>
      <c r="M60" s="57" t="s">
        <v>507</v>
      </c>
      <c r="N60" s="26"/>
      <c r="O60" s="48">
        <v>36</v>
      </c>
      <c r="P60" s="31" t="s">
        <v>251</v>
      </c>
      <c r="Q60" s="55"/>
      <c r="R60" s="32" t="s">
        <v>201</v>
      </c>
      <c r="S60" s="63" t="s">
        <v>397</v>
      </c>
      <c r="T60" s="28" t="s">
        <v>183</v>
      </c>
      <c r="U60" s="62"/>
      <c r="V60" s="44"/>
      <c r="W60" s="55"/>
      <c r="X60" s="4"/>
    </row>
    <row r="61" spans="2:24" s="1" customFormat="1" ht="16.5" customHeight="1" x14ac:dyDescent="0.3">
      <c r="B61" s="1" t="s">
        <v>480</v>
      </c>
      <c r="C61" s="21"/>
      <c r="D61" s="48">
        <v>37</v>
      </c>
      <c r="E61" s="31" t="s">
        <v>252</v>
      </c>
      <c r="F61" s="55"/>
      <c r="G61" s="32" t="s">
        <v>473</v>
      </c>
      <c r="H61" s="63" t="s">
        <v>472</v>
      </c>
      <c r="I61" s="28" t="s">
        <v>183</v>
      </c>
      <c r="J61" s="62"/>
      <c r="K61" s="44"/>
      <c r="L61" s="57"/>
      <c r="M61" s="57" t="s">
        <v>507</v>
      </c>
      <c r="N61" s="26"/>
      <c r="O61" s="48">
        <v>37</v>
      </c>
      <c r="P61" s="31" t="s">
        <v>252</v>
      </c>
      <c r="Q61" s="55"/>
      <c r="R61" s="32" t="s">
        <v>201</v>
      </c>
      <c r="S61" s="63">
        <v>15</v>
      </c>
      <c r="T61" s="28" t="s">
        <v>183</v>
      </c>
      <c r="U61" s="62"/>
      <c r="V61" s="44"/>
      <c r="W61" s="55"/>
      <c r="X61" s="4"/>
    </row>
    <row r="62" spans="2:24" s="1" customFormat="1" ht="16.5" customHeight="1" x14ac:dyDescent="0.3">
      <c r="B62" s="1" t="s">
        <v>480</v>
      </c>
      <c r="C62" s="21"/>
      <c r="D62" s="48">
        <v>38</v>
      </c>
      <c r="E62" s="31" t="s">
        <v>253</v>
      </c>
      <c r="F62" s="55"/>
      <c r="G62" s="32" t="s">
        <v>473</v>
      </c>
      <c r="H62" s="63" t="s">
        <v>472</v>
      </c>
      <c r="I62" s="28" t="s">
        <v>183</v>
      </c>
      <c r="J62" s="62"/>
      <c r="K62" s="44"/>
      <c r="L62" s="57"/>
      <c r="M62" s="57" t="s">
        <v>507</v>
      </c>
      <c r="N62" s="26"/>
      <c r="O62" s="48">
        <v>38</v>
      </c>
      <c r="P62" s="31" t="s">
        <v>253</v>
      </c>
      <c r="Q62" s="55"/>
      <c r="R62" s="32" t="s">
        <v>201</v>
      </c>
      <c r="S62" s="63">
        <v>15</v>
      </c>
      <c r="T62" s="28" t="s">
        <v>183</v>
      </c>
      <c r="U62" s="62"/>
      <c r="V62" s="44"/>
      <c r="W62" s="55"/>
      <c r="X62" s="4"/>
    </row>
    <row r="63" spans="2:24" s="1" customFormat="1" ht="16.5" customHeight="1" x14ac:dyDescent="0.3">
      <c r="B63" s="1" t="s">
        <v>480</v>
      </c>
      <c r="C63" s="21"/>
      <c r="D63" s="48">
        <v>39</v>
      </c>
      <c r="E63" s="31" t="s">
        <v>254</v>
      </c>
      <c r="F63" s="55"/>
      <c r="G63" s="32" t="s">
        <v>473</v>
      </c>
      <c r="H63" s="63" t="s">
        <v>472</v>
      </c>
      <c r="I63" s="28" t="s">
        <v>183</v>
      </c>
      <c r="J63" s="62"/>
      <c r="K63" s="44"/>
      <c r="L63" s="57"/>
      <c r="M63" s="57" t="s">
        <v>507</v>
      </c>
      <c r="N63" s="26"/>
      <c r="O63" s="48">
        <v>39</v>
      </c>
      <c r="P63" s="31" t="s">
        <v>254</v>
      </c>
      <c r="Q63" s="55"/>
      <c r="R63" s="32" t="s">
        <v>201</v>
      </c>
      <c r="S63" s="63">
        <v>15</v>
      </c>
      <c r="T63" s="28" t="s">
        <v>183</v>
      </c>
      <c r="U63" s="62"/>
      <c r="V63" s="44"/>
      <c r="W63" s="55"/>
      <c r="X63" s="4"/>
    </row>
    <row r="64" spans="2:24" s="1" customFormat="1" ht="16.5" customHeight="1" x14ac:dyDescent="0.3">
      <c r="B64" s="1" t="s">
        <v>480</v>
      </c>
      <c r="C64" s="21"/>
      <c r="D64" s="48">
        <v>40</v>
      </c>
      <c r="E64" s="31" t="s">
        <v>255</v>
      </c>
      <c r="F64" s="55"/>
      <c r="G64" s="32" t="s">
        <v>458</v>
      </c>
      <c r="H64" s="63"/>
      <c r="I64" s="28" t="s">
        <v>183</v>
      </c>
      <c r="J64" s="62"/>
      <c r="K64" s="44"/>
      <c r="L64" s="57"/>
      <c r="M64" s="57" t="s">
        <v>507</v>
      </c>
      <c r="N64" s="26"/>
      <c r="O64" s="48">
        <v>40</v>
      </c>
      <c r="P64" s="31" t="s">
        <v>255</v>
      </c>
      <c r="Q64" s="55"/>
      <c r="R64" s="32" t="s">
        <v>202</v>
      </c>
      <c r="S64" s="63"/>
      <c r="T64" s="28" t="s">
        <v>183</v>
      </c>
      <c r="U64" s="62"/>
      <c r="V64" s="44"/>
      <c r="W64" s="55"/>
      <c r="X64" s="4"/>
    </row>
    <row r="65" spans="2:24" s="1" customFormat="1" ht="16.5" customHeight="1" x14ac:dyDescent="0.3">
      <c r="B65" s="1" t="s">
        <v>480</v>
      </c>
      <c r="C65" s="21"/>
      <c r="D65" s="48">
        <v>41</v>
      </c>
      <c r="E65" s="31" t="s">
        <v>256</v>
      </c>
      <c r="F65" s="55"/>
      <c r="G65" s="32" t="s">
        <v>457</v>
      </c>
      <c r="H65" s="63">
        <v>1</v>
      </c>
      <c r="I65" s="28" t="s">
        <v>203</v>
      </c>
      <c r="J65" s="62"/>
      <c r="K65" s="44"/>
      <c r="L65" s="57"/>
      <c r="M65" s="57" t="s">
        <v>507</v>
      </c>
      <c r="N65" s="26"/>
      <c r="O65" s="48">
        <v>41</v>
      </c>
      <c r="P65" s="31" t="s">
        <v>256</v>
      </c>
      <c r="Q65" s="55"/>
      <c r="R65" s="32" t="s">
        <v>207</v>
      </c>
      <c r="S65" s="63">
        <v>1</v>
      </c>
      <c r="T65" s="28" t="s">
        <v>203</v>
      </c>
      <c r="U65" s="62"/>
      <c r="V65" s="44"/>
      <c r="W65" s="55"/>
      <c r="X65" s="4"/>
    </row>
    <row r="66" spans="2:24" s="1" customFormat="1" ht="16.5" customHeight="1" x14ac:dyDescent="0.3">
      <c r="B66" s="1" t="s">
        <v>480</v>
      </c>
      <c r="C66" s="21"/>
      <c r="D66" s="48">
        <v>42</v>
      </c>
      <c r="E66" s="31" t="s">
        <v>257</v>
      </c>
      <c r="F66" s="55"/>
      <c r="G66" s="32" t="s">
        <v>457</v>
      </c>
      <c r="H66" s="63">
        <v>1</v>
      </c>
      <c r="I66" s="28" t="s">
        <v>203</v>
      </c>
      <c r="J66" s="62"/>
      <c r="K66" s="44"/>
      <c r="L66" s="57"/>
      <c r="M66" s="57" t="s">
        <v>507</v>
      </c>
      <c r="N66" s="26"/>
      <c r="O66" s="48">
        <v>42</v>
      </c>
      <c r="P66" s="31" t="s">
        <v>257</v>
      </c>
      <c r="Q66" s="55"/>
      <c r="R66" s="32" t="s">
        <v>207</v>
      </c>
      <c r="S66" s="63">
        <v>1</v>
      </c>
      <c r="T66" s="28" t="s">
        <v>203</v>
      </c>
      <c r="U66" s="62"/>
      <c r="V66" s="44"/>
      <c r="W66" s="55"/>
      <c r="X66" s="4"/>
    </row>
    <row r="67" spans="2:24" s="1" customFormat="1" ht="16.5" customHeight="1" x14ac:dyDescent="0.3">
      <c r="B67" s="1" t="s">
        <v>480</v>
      </c>
      <c r="C67" s="21"/>
      <c r="D67" s="48">
        <v>43</v>
      </c>
      <c r="E67" s="31" t="s">
        <v>258</v>
      </c>
      <c r="F67" s="55"/>
      <c r="G67" s="32" t="s">
        <v>457</v>
      </c>
      <c r="H67" s="63">
        <v>25</v>
      </c>
      <c r="I67" s="28" t="s">
        <v>183</v>
      </c>
      <c r="J67" s="44" t="s">
        <v>414</v>
      </c>
      <c r="K67" s="44"/>
      <c r="L67" s="57"/>
      <c r="M67" s="57" t="s">
        <v>507</v>
      </c>
      <c r="N67" s="26"/>
      <c r="O67" s="48">
        <v>43</v>
      </c>
      <c r="P67" s="31" t="s">
        <v>258</v>
      </c>
      <c r="Q67" s="55"/>
      <c r="R67" s="32" t="s">
        <v>207</v>
      </c>
      <c r="S67" s="63">
        <v>25</v>
      </c>
      <c r="T67" s="28" t="s">
        <v>183</v>
      </c>
      <c r="U67" s="44" t="s">
        <v>414</v>
      </c>
      <c r="V67" s="44"/>
      <c r="W67" s="55"/>
      <c r="X67" s="4"/>
    </row>
    <row r="68" spans="2:24" s="1" customFormat="1" ht="16.5" customHeight="1" x14ac:dyDescent="0.3">
      <c r="B68" s="1" t="s">
        <v>480</v>
      </c>
      <c r="C68" s="21"/>
      <c r="D68" s="48">
        <v>44</v>
      </c>
      <c r="E68" s="31" t="s">
        <v>259</v>
      </c>
      <c r="F68" s="55"/>
      <c r="G68" s="32" t="s">
        <v>457</v>
      </c>
      <c r="H68" s="63">
        <v>25</v>
      </c>
      <c r="I68" s="28" t="s">
        <v>183</v>
      </c>
      <c r="J68" s="44" t="s">
        <v>415</v>
      </c>
      <c r="K68" s="44"/>
      <c r="L68" s="57"/>
      <c r="M68" s="57" t="s">
        <v>507</v>
      </c>
      <c r="N68" s="26"/>
      <c r="O68" s="48">
        <v>44</v>
      </c>
      <c r="P68" s="31" t="s">
        <v>259</v>
      </c>
      <c r="Q68" s="55"/>
      <c r="R68" s="32" t="s">
        <v>207</v>
      </c>
      <c r="S68" s="63">
        <v>25</v>
      </c>
      <c r="T68" s="28" t="s">
        <v>183</v>
      </c>
      <c r="U68" s="44" t="s">
        <v>415</v>
      </c>
      <c r="V68" s="44"/>
      <c r="W68" s="55"/>
      <c r="X68" s="4"/>
    </row>
    <row r="69" spans="2:24" s="1" customFormat="1" ht="16.5" customHeight="1" x14ac:dyDescent="0.3">
      <c r="B69" s="1" t="s">
        <v>480</v>
      </c>
      <c r="C69" s="21"/>
      <c r="D69" s="48">
        <v>45</v>
      </c>
      <c r="E69" s="31" t="s">
        <v>260</v>
      </c>
      <c r="F69" s="55"/>
      <c r="G69" s="32" t="s">
        <v>457</v>
      </c>
      <c r="H69" s="63">
        <v>25</v>
      </c>
      <c r="I69" s="28" t="s">
        <v>183</v>
      </c>
      <c r="J69" s="44" t="s">
        <v>416</v>
      </c>
      <c r="K69" s="44"/>
      <c r="L69" s="57"/>
      <c r="M69" s="57" t="s">
        <v>507</v>
      </c>
      <c r="N69" s="26"/>
      <c r="O69" s="48">
        <v>45</v>
      </c>
      <c r="P69" s="31" t="s">
        <v>260</v>
      </c>
      <c r="Q69" s="55"/>
      <c r="R69" s="32" t="s">
        <v>207</v>
      </c>
      <c r="S69" s="63">
        <v>25</v>
      </c>
      <c r="T69" s="28" t="s">
        <v>183</v>
      </c>
      <c r="U69" s="44" t="s">
        <v>416</v>
      </c>
      <c r="V69" s="44"/>
      <c r="W69" s="55"/>
      <c r="X69" s="4"/>
    </row>
    <row r="70" spans="2:24" s="1" customFormat="1" ht="16.5" customHeight="1" x14ac:dyDescent="0.3">
      <c r="B70" s="1" t="s">
        <v>480</v>
      </c>
      <c r="C70" s="21"/>
      <c r="D70" s="48">
        <v>46</v>
      </c>
      <c r="E70" s="31" t="s">
        <v>261</v>
      </c>
      <c r="F70" s="55"/>
      <c r="G70" s="32" t="s">
        <v>457</v>
      </c>
      <c r="H70" s="63">
        <v>25</v>
      </c>
      <c r="I70" s="28" t="s">
        <v>183</v>
      </c>
      <c r="J70" s="44" t="s">
        <v>417</v>
      </c>
      <c r="K70" s="44"/>
      <c r="L70" s="57"/>
      <c r="M70" s="57" t="s">
        <v>507</v>
      </c>
      <c r="N70" s="26"/>
      <c r="O70" s="48">
        <v>46</v>
      </c>
      <c r="P70" s="31" t="s">
        <v>261</v>
      </c>
      <c r="Q70" s="55"/>
      <c r="R70" s="32" t="s">
        <v>207</v>
      </c>
      <c r="S70" s="63">
        <v>25</v>
      </c>
      <c r="T70" s="28" t="s">
        <v>183</v>
      </c>
      <c r="U70" s="44" t="s">
        <v>417</v>
      </c>
      <c r="V70" s="44"/>
      <c r="W70" s="55"/>
      <c r="X70" s="4"/>
    </row>
    <row r="71" spans="2:24" s="1" customFormat="1" ht="16.5" customHeight="1" x14ac:dyDescent="0.3">
      <c r="B71" s="1" t="s">
        <v>480</v>
      </c>
      <c r="C71" s="21"/>
      <c r="D71" s="48">
        <v>47</v>
      </c>
      <c r="E71" s="31" t="s">
        <v>262</v>
      </c>
      <c r="F71" s="55"/>
      <c r="G71" s="32" t="s">
        <v>457</v>
      </c>
      <c r="H71" s="63">
        <v>25</v>
      </c>
      <c r="I71" s="28" t="s">
        <v>183</v>
      </c>
      <c r="J71" s="44" t="s">
        <v>418</v>
      </c>
      <c r="K71" s="44"/>
      <c r="L71" s="57"/>
      <c r="M71" s="57" t="s">
        <v>507</v>
      </c>
      <c r="N71" s="26"/>
      <c r="O71" s="48">
        <v>47</v>
      </c>
      <c r="P71" s="31" t="s">
        <v>262</v>
      </c>
      <c r="Q71" s="55"/>
      <c r="R71" s="32" t="s">
        <v>207</v>
      </c>
      <c r="S71" s="63">
        <v>25</v>
      </c>
      <c r="T71" s="28" t="s">
        <v>183</v>
      </c>
      <c r="U71" s="44" t="s">
        <v>418</v>
      </c>
      <c r="V71" s="44"/>
      <c r="W71" s="55"/>
      <c r="X71" s="4"/>
    </row>
    <row r="72" spans="2:24" s="1" customFormat="1" ht="16.5" customHeight="1" x14ac:dyDescent="0.3">
      <c r="B72" s="1" t="s">
        <v>480</v>
      </c>
      <c r="C72" s="21"/>
      <c r="D72" s="48">
        <v>48</v>
      </c>
      <c r="E72" s="31" t="s">
        <v>263</v>
      </c>
      <c r="F72" s="55"/>
      <c r="G72" s="32" t="s">
        <v>457</v>
      </c>
      <c r="H72" s="63">
        <v>25</v>
      </c>
      <c r="I72" s="28" t="s">
        <v>183</v>
      </c>
      <c r="J72" s="44" t="s">
        <v>419</v>
      </c>
      <c r="K72" s="44"/>
      <c r="L72" s="57"/>
      <c r="M72" s="57" t="s">
        <v>507</v>
      </c>
      <c r="N72" s="26"/>
      <c r="O72" s="48">
        <v>48</v>
      </c>
      <c r="P72" s="31" t="s">
        <v>263</v>
      </c>
      <c r="Q72" s="55"/>
      <c r="R72" s="32" t="s">
        <v>207</v>
      </c>
      <c r="S72" s="63">
        <v>25</v>
      </c>
      <c r="T72" s="28" t="s">
        <v>183</v>
      </c>
      <c r="U72" s="44" t="s">
        <v>419</v>
      </c>
      <c r="V72" s="44"/>
      <c r="W72" s="55"/>
      <c r="X72" s="4"/>
    </row>
    <row r="73" spans="2:24" s="1" customFormat="1" ht="16.5" customHeight="1" x14ac:dyDescent="0.3">
      <c r="B73" s="1" t="s">
        <v>480</v>
      </c>
      <c r="C73" s="21"/>
      <c r="D73" s="48">
        <v>49</v>
      </c>
      <c r="E73" s="31" t="s">
        <v>264</v>
      </c>
      <c r="F73" s="55"/>
      <c r="G73" s="32" t="s">
        <v>457</v>
      </c>
      <c r="H73" s="63">
        <v>25</v>
      </c>
      <c r="I73" s="28" t="s">
        <v>183</v>
      </c>
      <c r="J73" s="44" t="s">
        <v>420</v>
      </c>
      <c r="K73" s="44" t="s">
        <v>446</v>
      </c>
      <c r="L73" s="57"/>
      <c r="M73" s="57" t="s">
        <v>507</v>
      </c>
      <c r="N73" s="26"/>
      <c r="O73" s="48">
        <v>49</v>
      </c>
      <c r="P73" s="31" t="s">
        <v>264</v>
      </c>
      <c r="Q73" s="55"/>
      <c r="R73" s="32" t="s">
        <v>207</v>
      </c>
      <c r="S73" s="63">
        <v>25</v>
      </c>
      <c r="T73" s="28" t="s">
        <v>183</v>
      </c>
      <c r="U73" s="44" t="s">
        <v>420</v>
      </c>
      <c r="V73" s="44" t="s">
        <v>446</v>
      </c>
      <c r="W73" s="55"/>
      <c r="X73" s="4"/>
    </row>
    <row r="74" spans="2:24" s="1" customFormat="1" ht="16.5" customHeight="1" x14ac:dyDescent="0.3">
      <c r="B74" s="1" t="s">
        <v>480</v>
      </c>
      <c r="C74" s="21"/>
      <c r="D74" s="48">
        <v>50</v>
      </c>
      <c r="E74" s="31" t="s">
        <v>265</v>
      </c>
      <c r="F74" s="55"/>
      <c r="G74" s="32" t="s">
        <v>457</v>
      </c>
      <c r="H74" s="63">
        <v>25</v>
      </c>
      <c r="I74" s="28" t="s">
        <v>183</v>
      </c>
      <c r="J74" s="44" t="s">
        <v>421</v>
      </c>
      <c r="K74" s="44"/>
      <c r="L74" s="57"/>
      <c r="M74" s="57" t="s">
        <v>507</v>
      </c>
      <c r="N74" s="26"/>
      <c r="O74" s="48">
        <v>50</v>
      </c>
      <c r="P74" s="31" t="s">
        <v>265</v>
      </c>
      <c r="Q74" s="55"/>
      <c r="R74" s="32" t="s">
        <v>207</v>
      </c>
      <c r="S74" s="63">
        <v>25</v>
      </c>
      <c r="T74" s="28" t="s">
        <v>183</v>
      </c>
      <c r="U74" s="44" t="s">
        <v>421</v>
      </c>
      <c r="V74" s="44"/>
      <c r="W74" s="55"/>
      <c r="X74" s="4"/>
    </row>
    <row r="75" spans="2:24" s="1" customFormat="1" ht="16.5" customHeight="1" x14ac:dyDescent="0.3">
      <c r="B75" s="1" t="s">
        <v>480</v>
      </c>
      <c r="C75" s="21"/>
      <c r="D75" s="48">
        <v>51</v>
      </c>
      <c r="E75" s="31" t="s">
        <v>266</v>
      </c>
      <c r="F75" s="55"/>
      <c r="G75" s="32" t="s">
        <v>457</v>
      </c>
      <c r="H75" s="63">
        <v>25</v>
      </c>
      <c r="I75" s="28" t="s">
        <v>183</v>
      </c>
      <c r="J75" s="44" t="s">
        <v>422</v>
      </c>
      <c r="K75" s="44"/>
      <c r="L75" s="57"/>
      <c r="M75" s="57" t="s">
        <v>507</v>
      </c>
      <c r="N75" s="26"/>
      <c r="O75" s="48">
        <v>51</v>
      </c>
      <c r="P75" s="31" t="s">
        <v>266</v>
      </c>
      <c r="Q75" s="55"/>
      <c r="R75" s="32" t="s">
        <v>207</v>
      </c>
      <c r="S75" s="63">
        <v>25</v>
      </c>
      <c r="T75" s="28" t="s">
        <v>183</v>
      </c>
      <c r="U75" s="44" t="s">
        <v>422</v>
      </c>
      <c r="V75" s="44"/>
      <c r="W75" s="55"/>
      <c r="X75" s="4"/>
    </row>
    <row r="76" spans="2:24" s="1" customFormat="1" ht="16.5" customHeight="1" x14ac:dyDescent="0.3">
      <c r="B76" s="1" t="s">
        <v>480</v>
      </c>
      <c r="C76" s="21"/>
      <c r="D76" s="48">
        <v>52</v>
      </c>
      <c r="E76" s="31" t="s">
        <v>267</v>
      </c>
      <c r="F76" s="55"/>
      <c r="G76" s="32" t="s">
        <v>457</v>
      </c>
      <c r="H76" s="63">
        <v>30</v>
      </c>
      <c r="I76" s="28" t="s">
        <v>183</v>
      </c>
      <c r="J76" s="44" t="s">
        <v>423</v>
      </c>
      <c r="K76" s="44" t="s">
        <v>447</v>
      </c>
      <c r="L76" s="57"/>
      <c r="M76" s="57" t="s">
        <v>507</v>
      </c>
      <c r="N76" s="26"/>
      <c r="O76" s="48">
        <v>52</v>
      </c>
      <c r="P76" s="31" t="s">
        <v>267</v>
      </c>
      <c r="Q76" s="55"/>
      <c r="R76" s="32" t="s">
        <v>207</v>
      </c>
      <c r="S76" s="63">
        <v>30</v>
      </c>
      <c r="T76" s="28" t="s">
        <v>183</v>
      </c>
      <c r="U76" s="44" t="s">
        <v>423</v>
      </c>
      <c r="V76" s="44" t="s">
        <v>447</v>
      </c>
      <c r="W76" s="55"/>
      <c r="X76" s="4"/>
    </row>
    <row r="77" spans="2:24" s="1" customFormat="1" ht="16.5" customHeight="1" x14ac:dyDescent="0.3">
      <c r="B77" s="1" t="s">
        <v>480</v>
      </c>
      <c r="C77" s="21"/>
      <c r="D77" s="48">
        <v>53</v>
      </c>
      <c r="E77" s="31" t="s">
        <v>191</v>
      </c>
      <c r="F77" s="55"/>
      <c r="G77" s="32" t="s">
        <v>457</v>
      </c>
      <c r="H77" s="63">
        <v>150</v>
      </c>
      <c r="I77" s="28" t="s">
        <v>183</v>
      </c>
      <c r="J77" s="44" t="s">
        <v>424</v>
      </c>
      <c r="K77" s="44"/>
      <c r="L77" s="57"/>
      <c r="M77" s="57" t="s">
        <v>507</v>
      </c>
      <c r="N77" s="26"/>
      <c r="O77" s="48">
        <v>53</v>
      </c>
      <c r="P77" s="31" t="s">
        <v>191</v>
      </c>
      <c r="Q77" s="55"/>
      <c r="R77" s="32" t="s">
        <v>207</v>
      </c>
      <c r="S77" s="63">
        <v>150</v>
      </c>
      <c r="T77" s="28" t="s">
        <v>183</v>
      </c>
      <c r="U77" s="44" t="s">
        <v>424</v>
      </c>
      <c r="V77" s="44"/>
      <c r="W77" s="55"/>
      <c r="X77" s="4"/>
    </row>
    <row r="78" spans="2:24" s="1" customFormat="1" ht="16.5" customHeight="1" x14ac:dyDescent="0.3">
      <c r="B78" s="1" t="s">
        <v>480</v>
      </c>
      <c r="C78" s="21"/>
      <c r="D78" s="48">
        <v>54</v>
      </c>
      <c r="E78" s="31" t="s">
        <v>192</v>
      </c>
      <c r="F78" s="55"/>
      <c r="G78" s="32" t="s">
        <v>457</v>
      </c>
      <c r="H78" s="63">
        <v>150</v>
      </c>
      <c r="I78" s="28" t="s">
        <v>183</v>
      </c>
      <c r="J78" s="44" t="s">
        <v>425</v>
      </c>
      <c r="K78" s="44"/>
      <c r="L78" s="57"/>
      <c r="M78" s="57" t="s">
        <v>507</v>
      </c>
      <c r="N78" s="26"/>
      <c r="O78" s="48">
        <v>54</v>
      </c>
      <c r="P78" s="31" t="s">
        <v>192</v>
      </c>
      <c r="Q78" s="55"/>
      <c r="R78" s="32" t="s">
        <v>207</v>
      </c>
      <c r="S78" s="63">
        <v>150</v>
      </c>
      <c r="T78" s="28" t="s">
        <v>183</v>
      </c>
      <c r="U78" s="44" t="s">
        <v>425</v>
      </c>
      <c r="V78" s="44"/>
      <c r="W78" s="55"/>
      <c r="X78" s="4"/>
    </row>
    <row r="79" spans="2:24" s="1" customFormat="1" ht="16.5" customHeight="1" x14ac:dyDescent="0.3">
      <c r="B79" s="1" t="s">
        <v>480</v>
      </c>
      <c r="C79" s="21"/>
      <c r="D79" s="48">
        <v>55</v>
      </c>
      <c r="E79" s="31" t="s">
        <v>193</v>
      </c>
      <c r="F79" s="55"/>
      <c r="G79" s="32" t="s">
        <v>457</v>
      </c>
      <c r="H79" s="63">
        <v>150</v>
      </c>
      <c r="I79" s="28" t="s">
        <v>183</v>
      </c>
      <c r="J79" s="44" t="s">
        <v>426</v>
      </c>
      <c r="K79" s="44" t="s">
        <v>448</v>
      </c>
      <c r="L79" s="57"/>
      <c r="M79" s="57" t="s">
        <v>507</v>
      </c>
      <c r="N79" s="26"/>
      <c r="O79" s="48">
        <v>55</v>
      </c>
      <c r="P79" s="31" t="s">
        <v>193</v>
      </c>
      <c r="Q79" s="55"/>
      <c r="R79" s="32" t="s">
        <v>207</v>
      </c>
      <c r="S79" s="63">
        <v>150</v>
      </c>
      <c r="T79" s="28" t="s">
        <v>183</v>
      </c>
      <c r="U79" s="44" t="s">
        <v>426</v>
      </c>
      <c r="V79" s="44" t="s">
        <v>448</v>
      </c>
      <c r="W79" s="55"/>
      <c r="X79" s="4"/>
    </row>
    <row r="80" spans="2:24" s="1" customFormat="1" ht="16.5" customHeight="1" x14ac:dyDescent="0.3">
      <c r="B80" s="1" t="s">
        <v>480</v>
      </c>
      <c r="C80" s="21"/>
      <c r="D80" s="48">
        <v>56</v>
      </c>
      <c r="E80" s="31" t="s">
        <v>194</v>
      </c>
      <c r="F80" s="55"/>
      <c r="G80" s="32" t="s">
        <v>457</v>
      </c>
      <c r="H80" s="63">
        <v>150</v>
      </c>
      <c r="I80" s="28" t="s">
        <v>183</v>
      </c>
      <c r="J80" s="44" t="s">
        <v>427</v>
      </c>
      <c r="K80" s="44"/>
      <c r="L80" s="57"/>
      <c r="M80" s="57" t="s">
        <v>507</v>
      </c>
      <c r="N80" s="26"/>
      <c r="O80" s="48">
        <v>56</v>
      </c>
      <c r="P80" s="31" t="s">
        <v>194</v>
      </c>
      <c r="Q80" s="55"/>
      <c r="R80" s="32" t="s">
        <v>207</v>
      </c>
      <c r="S80" s="63">
        <v>150</v>
      </c>
      <c r="T80" s="28" t="s">
        <v>183</v>
      </c>
      <c r="U80" s="44" t="s">
        <v>427</v>
      </c>
      <c r="V80" s="44"/>
      <c r="W80" s="55"/>
      <c r="X80" s="4"/>
    </row>
    <row r="81" spans="2:24" s="1" customFormat="1" ht="16.5" customHeight="1" x14ac:dyDescent="0.3">
      <c r="B81" s="1" t="s">
        <v>480</v>
      </c>
      <c r="C81" s="21"/>
      <c r="D81" s="48">
        <v>57</v>
      </c>
      <c r="E81" s="31" t="s">
        <v>195</v>
      </c>
      <c r="F81" s="55"/>
      <c r="G81" s="32" t="s">
        <v>457</v>
      </c>
      <c r="H81" s="63">
        <v>150</v>
      </c>
      <c r="I81" s="28" t="s">
        <v>183</v>
      </c>
      <c r="J81" s="44" t="s">
        <v>428</v>
      </c>
      <c r="K81" s="44"/>
      <c r="L81" s="57"/>
      <c r="M81" s="57" t="s">
        <v>507</v>
      </c>
      <c r="N81" s="26"/>
      <c r="O81" s="48">
        <v>57</v>
      </c>
      <c r="P81" s="31" t="s">
        <v>195</v>
      </c>
      <c r="Q81" s="55"/>
      <c r="R81" s="32" t="s">
        <v>207</v>
      </c>
      <c r="S81" s="63">
        <v>150</v>
      </c>
      <c r="T81" s="28" t="s">
        <v>183</v>
      </c>
      <c r="U81" s="44" t="s">
        <v>428</v>
      </c>
      <c r="V81" s="44"/>
      <c r="W81" s="55"/>
      <c r="X81" s="4"/>
    </row>
    <row r="82" spans="2:24" s="1" customFormat="1" ht="16.5" customHeight="1" x14ac:dyDescent="0.3">
      <c r="B82" s="1" t="s">
        <v>480</v>
      </c>
      <c r="C82" s="21"/>
      <c r="D82" s="48">
        <v>58</v>
      </c>
      <c r="E82" s="31" t="s">
        <v>196</v>
      </c>
      <c r="F82" s="55"/>
      <c r="G82" s="32" t="s">
        <v>457</v>
      </c>
      <c r="H82" s="63">
        <v>150</v>
      </c>
      <c r="I82" s="28" t="s">
        <v>183</v>
      </c>
      <c r="J82" s="44" t="s">
        <v>429</v>
      </c>
      <c r="K82" s="44" t="s">
        <v>449</v>
      </c>
      <c r="L82" s="57"/>
      <c r="M82" s="57" t="s">
        <v>507</v>
      </c>
      <c r="N82" s="26"/>
      <c r="O82" s="48">
        <v>58</v>
      </c>
      <c r="P82" s="31" t="s">
        <v>196</v>
      </c>
      <c r="Q82" s="55"/>
      <c r="R82" s="32" t="s">
        <v>207</v>
      </c>
      <c r="S82" s="63">
        <v>150</v>
      </c>
      <c r="T82" s="28" t="s">
        <v>183</v>
      </c>
      <c r="U82" s="44" t="s">
        <v>429</v>
      </c>
      <c r="V82" s="44" t="s">
        <v>449</v>
      </c>
      <c r="W82" s="55"/>
      <c r="X82" s="4"/>
    </row>
    <row r="83" spans="2:24" s="1" customFormat="1" ht="16.5" customHeight="1" x14ac:dyDescent="0.3">
      <c r="B83" s="1" t="s">
        <v>480</v>
      </c>
      <c r="C83" s="21"/>
      <c r="D83" s="48">
        <v>59</v>
      </c>
      <c r="E83" s="31" t="s">
        <v>197</v>
      </c>
      <c r="F83" s="55"/>
      <c r="G83" s="32" t="s">
        <v>457</v>
      </c>
      <c r="H83" s="63">
        <v>150</v>
      </c>
      <c r="I83" s="28" t="s">
        <v>183</v>
      </c>
      <c r="J83" s="44" t="s">
        <v>430</v>
      </c>
      <c r="K83" s="44"/>
      <c r="L83" s="57"/>
      <c r="M83" s="57" t="s">
        <v>507</v>
      </c>
      <c r="N83" s="26"/>
      <c r="O83" s="48">
        <v>59</v>
      </c>
      <c r="P83" s="31" t="s">
        <v>197</v>
      </c>
      <c r="Q83" s="55"/>
      <c r="R83" s="32" t="s">
        <v>207</v>
      </c>
      <c r="S83" s="63">
        <v>150</v>
      </c>
      <c r="T83" s="28" t="s">
        <v>183</v>
      </c>
      <c r="U83" s="44" t="s">
        <v>430</v>
      </c>
      <c r="V83" s="44"/>
      <c r="W83" s="55"/>
      <c r="X83" s="4"/>
    </row>
    <row r="84" spans="2:24" s="1" customFormat="1" ht="16.5" customHeight="1" x14ac:dyDescent="0.3">
      <c r="B84" s="1" t="s">
        <v>480</v>
      </c>
      <c r="C84" s="21"/>
      <c r="D84" s="48">
        <v>60</v>
      </c>
      <c r="E84" s="31" t="s">
        <v>198</v>
      </c>
      <c r="F84" s="55"/>
      <c r="G84" s="32" t="s">
        <v>457</v>
      </c>
      <c r="H84" s="63">
        <v>150</v>
      </c>
      <c r="I84" s="28" t="s">
        <v>183</v>
      </c>
      <c r="J84" s="44" t="s">
        <v>431</v>
      </c>
      <c r="K84" s="44"/>
      <c r="L84" s="57"/>
      <c r="M84" s="57" t="s">
        <v>507</v>
      </c>
      <c r="N84" s="26"/>
      <c r="O84" s="48">
        <v>60</v>
      </c>
      <c r="P84" s="31" t="s">
        <v>198</v>
      </c>
      <c r="Q84" s="55"/>
      <c r="R84" s="32" t="s">
        <v>207</v>
      </c>
      <c r="S84" s="63">
        <v>150</v>
      </c>
      <c r="T84" s="28" t="s">
        <v>183</v>
      </c>
      <c r="U84" s="44" t="s">
        <v>431</v>
      </c>
      <c r="V84" s="44"/>
      <c r="W84" s="55"/>
      <c r="X84" s="4"/>
    </row>
    <row r="85" spans="2:24" s="1" customFormat="1" ht="16.5" customHeight="1" x14ac:dyDescent="0.3">
      <c r="B85" s="1" t="s">
        <v>480</v>
      </c>
      <c r="C85" s="21"/>
      <c r="D85" s="48">
        <v>61</v>
      </c>
      <c r="E85" s="31" t="s">
        <v>199</v>
      </c>
      <c r="F85" s="55"/>
      <c r="G85" s="32" t="s">
        <v>457</v>
      </c>
      <c r="H85" s="63">
        <v>150</v>
      </c>
      <c r="I85" s="28" t="s">
        <v>183</v>
      </c>
      <c r="J85" s="44" t="s">
        <v>432</v>
      </c>
      <c r="K85" s="44"/>
      <c r="L85" s="57"/>
      <c r="M85" s="57" t="s">
        <v>507</v>
      </c>
      <c r="N85" s="26"/>
      <c r="O85" s="48">
        <v>61</v>
      </c>
      <c r="P85" s="31" t="s">
        <v>199</v>
      </c>
      <c r="Q85" s="55"/>
      <c r="R85" s="32" t="s">
        <v>207</v>
      </c>
      <c r="S85" s="63">
        <v>150</v>
      </c>
      <c r="T85" s="28" t="s">
        <v>183</v>
      </c>
      <c r="U85" s="44" t="s">
        <v>432</v>
      </c>
      <c r="V85" s="44"/>
      <c r="W85" s="55"/>
      <c r="X85" s="4"/>
    </row>
    <row r="86" spans="2:24" s="1" customFormat="1" ht="16.5" customHeight="1" x14ac:dyDescent="0.3">
      <c r="B86" s="1" t="s">
        <v>480</v>
      </c>
      <c r="C86" s="21"/>
      <c r="D86" s="48">
        <v>62</v>
      </c>
      <c r="E86" s="31" t="s">
        <v>200</v>
      </c>
      <c r="F86" s="55"/>
      <c r="G86" s="32" t="s">
        <v>457</v>
      </c>
      <c r="H86" s="63">
        <v>150</v>
      </c>
      <c r="I86" s="28" t="s">
        <v>183</v>
      </c>
      <c r="J86" s="44" t="s">
        <v>433</v>
      </c>
      <c r="K86" s="44"/>
      <c r="L86" s="57"/>
      <c r="M86" s="57" t="s">
        <v>507</v>
      </c>
      <c r="N86" s="26"/>
      <c r="O86" s="48">
        <v>62</v>
      </c>
      <c r="P86" s="31" t="s">
        <v>200</v>
      </c>
      <c r="Q86" s="55"/>
      <c r="R86" s="32" t="s">
        <v>207</v>
      </c>
      <c r="S86" s="63">
        <v>150</v>
      </c>
      <c r="T86" s="28" t="s">
        <v>183</v>
      </c>
      <c r="U86" s="44" t="s">
        <v>433</v>
      </c>
      <c r="V86" s="44"/>
      <c r="W86" s="55"/>
      <c r="X86" s="4"/>
    </row>
    <row r="87" spans="2:24" s="1" customFormat="1" ht="16.5" customHeight="1" x14ac:dyDescent="0.3">
      <c r="B87" s="1" t="s">
        <v>480</v>
      </c>
      <c r="C87" s="21"/>
      <c r="D87" s="48">
        <v>63</v>
      </c>
      <c r="E87" s="31" t="s">
        <v>268</v>
      </c>
      <c r="F87" s="55"/>
      <c r="G87" s="32" t="s">
        <v>473</v>
      </c>
      <c r="H87" s="63" t="s">
        <v>471</v>
      </c>
      <c r="I87" s="28" t="s">
        <v>183</v>
      </c>
      <c r="J87" s="62"/>
      <c r="K87" s="44"/>
      <c r="L87" s="57"/>
      <c r="M87" s="57" t="s">
        <v>507</v>
      </c>
      <c r="N87" s="26"/>
      <c r="O87" s="48">
        <v>63</v>
      </c>
      <c r="P87" s="31" t="s">
        <v>268</v>
      </c>
      <c r="Q87" s="55"/>
      <c r="R87" s="32" t="s">
        <v>201</v>
      </c>
      <c r="S87" s="63">
        <v>15</v>
      </c>
      <c r="T87" s="28" t="s">
        <v>183</v>
      </c>
      <c r="U87" s="62"/>
      <c r="V87" s="44"/>
      <c r="W87" s="55"/>
      <c r="X87" s="4"/>
    </row>
    <row r="88" spans="2:24" s="1" customFormat="1" ht="16.5" customHeight="1" x14ac:dyDescent="0.3">
      <c r="B88" s="1" t="s">
        <v>480</v>
      </c>
      <c r="C88" s="21"/>
      <c r="D88" s="48">
        <v>64</v>
      </c>
      <c r="E88" s="31" t="s">
        <v>269</v>
      </c>
      <c r="F88" s="55"/>
      <c r="G88" s="32" t="s">
        <v>473</v>
      </c>
      <c r="H88" s="63" t="s">
        <v>471</v>
      </c>
      <c r="I88" s="28" t="s">
        <v>183</v>
      </c>
      <c r="J88" s="62"/>
      <c r="K88" s="44"/>
      <c r="L88" s="57"/>
      <c r="M88" s="57" t="s">
        <v>507</v>
      </c>
      <c r="N88" s="26"/>
      <c r="O88" s="48">
        <v>64</v>
      </c>
      <c r="P88" s="31" t="s">
        <v>269</v>
      </c>
      <c r="Q88" s="55"/>
      <c r="R88" s="32" t="s">
        <v>201</v>
      </c>
      <c r="S88" s="63">
        <v>15</v>
      </c>
      <c r="T88" s="28" t="s">
        <v>183</v>
      </c>
      <c r="U88" s="62"/>
      <c r="V88" s="44"/>
      <c r="W88" s="55"/>
      <c r="X88" s="4"/>
    </row>
    <row r="89" spans="2:24" s="1" customFormat="1" ht="16.5" customHeight="1" x14ac:dyDescent="0.3">
      <c r="B89" s="1" t="s">
        <v>480</v>
      </c>
      <c r="C89" s="21"/>
      <c r="D89" s="48">
        <v>65</v>
      </c>
      <c r="E89" s="31" t="s">
        <v>270</v>
      </c>
      <c r="F89" s="55"/>
      <c r="G89" s="32" t="s">
        <v>473</v>
      </c>
      <c r="H89" s="63" t="s">
        <v>471</v>
      </c>
      <c r="I89" s="28" t="s">
        <v>183</v>
      </c>
      <c r="J89" s="62"/>
      <c r="K89" s="44"/>
      <c r="L89" s="57"/>
      <c r="M89" s="57" t="s">
        <v>507</v>
      </c>
      <c r="N89" s="26"/>
      <c r="O89" s="48">
        <v>65</v>
      </c>
      <c r="P89" s="31" t="s">
        <v>270</v>
      </c>
      <c r="Q89" s="55"/>
      <c r="R89" s="32" t="s">
        <v>201</v>
      </c>
      <c r="S89" s="63">
        <v>15</v>
      </c>
      <c r="T89" s="28" t="s">
        <v>183</v>
      </c>
      <c r="U89" s="62"/>
      <c r="V89" s="44"/>
      <c r="W89" s="55"/>
      <c r="X89" s="4"/>
    </row>
    <row r="90" spans="2:24" s="1" customFormat="1" ht="16.5" customHeight="1" x14ac:dyDescent="0.3">
      <c r="B90" s="1" t="s">
        <v>480</v>
      </c>
      <c r="C90" s="21"/>
      <c r="D90" s="48">
        <v>66</v>
      </c>
      <c r="E90" s="31" t="s">
        <v>271</v>
      </c>
      <c r="F90" s="55"/>
      <c r="G90" s="32" t="s">
        <v>458</v>
      </c>
      <c r="H90" s="63"/>
      <c r="I90" s="28" t="s">
        <v>183</v>
      </c>
      <c r="J90" s="62"/>
      <c r="K90" s="44"/>
      <c r="L90" s="57"/>
      <c r="M90" s="57" t="s">
        <v>507</v>
      </c>
      <c r="N90" s="26"/>
      <c r="O90" s="48">
        <v>66</v>
      </c>
      <c r="P90" s="31" t="s">
        <v>271</v>
      </c>
      <c r="Q90" s="55"/>
      <c r="R90" s="32" t="s">
        <v>202</v>
      </c>
      <c r="S90" s="63"/>
      <c r="T90" s="28" t="s">
        <v>183</v>
      </c>
      <c r="U90" s="62"/>
      <c r="V90" s="44"/>
      <c r="W90" s="55"/>
      <c r="X90" s="4"/>
    </row>
    <row r="91" spans="2:24" s="1" customFormat="1" ht="16.5" customHeight="1" x14ac:dyDescent="0.3">
      <c r="B91" s="1" t="s">
        <v>480</v>
      </c>
      <c r="C91" s="21"/>
      <c r="D91" s="48">
        <v>67</v>
      </c>
      <c r="E91" s="31" t="s">
        <v>272</v>
      </c>
      <c r="F91" s="55"/>
      <c r="G91" s="32" t="s">
        <v>458</v>
      </c>
      <c r="H91" s="63"/>
      <c r="I91" s="28" t="s">
        <v>183</v>
      </c>
      <c r="J91" s="62"/>
      <c r="K91" s="44"/>
      <c r="L91" s="57"/>
      <c r="M91" s="57" t="s">
        <v>507</v>
      </c>
      <c r="N91" s="26"/>
      <c r="O91" s="48">
        <v>67</v>
      </c>
      <c r="P91" s="31" t="s">
        <v>272</v>
      </c>
      <c r="Q91" s="55"/>
      <c r="R91" s="32" t="s">
        <v>202</v>
      </c>
      <c r="S91" s="63"/>
      <c r="T91" s="28" t="s">
        <v>183</v>
      </c>
      <c r="U91" s="62"/>
      <c r="V91" s="44"/>
      <c r="W91" s="55"/>
      <c r="X91" s="4"/>
    </row>
    <row r="92" spans="2:24" s="1" customFormat="1" ht="16.5" customHeight="1" x14ac:dyDescent="0.3">
      <c r="B92" s="1" t="s">
        <v>480</v>
      </c>
      <c r="C92" s="21"/>
      <c r="D92" s="48">
        <v>68</v>
      </c>
      <c r="E92" s="31" t="s">
        <v>273</v>
      </c>
      <c r="F92" s="55"/>
      <c r="G92" s="32" t="s">
        <v>458</v>
      </c>
      <c r="H92" s="63"/>
      <c r="I92" s="28" t="s">
        <v>183</v>
      </c>
      <c r="J92" s="62"/>
      <c r="K92" s="44"/>
      <c r="L92" s="57"/>
      <c r="M92" s="57" t="s">
        <v>507</v>
      </c>
      <c r="N92" s="26"/>
      <c r="O92" s="48">
        <v>68</v>
      </c>
      <c r="P92" s="31" t="s">
        <v>273</v>
      </c>
      <c r="Q92" s="55"/>
      <c r="R92" s="32" t="s">
        <v>202</v>
      </c>
      <c r="S92" s="63"/>
      <c r="T92" s="28" t="s">
        <v>183</v>
      </c>
      <c r="U92" s="62"/>
      <c r="V92" s="44"/>
      <c r="W92" s="55"/>
      <c r="X92" s="4"/>
    </row>
    <row r="93" spans="2:24" s="1" customFormat="1" ht="16.5" customHeight="1" x14ac:dyDescent="0.3">
      <c r="B93" s="1" t="s">
        <v>480</v>
      </c>
      <c r="C93" s="21"/>
      <c r="D93" s="48">
        <v>69</v>
      </c>
      <c r="E93" s="31" t="s">
        <v>274</v>
      </c>
      <c r="F93" s="55"/>
      <c r="G93" s="32" t="s">
        <v>457</v>
      </c>
      <c r="H93" s="63">
        <v>1</v>
      </c>
      <c r="I93" s="28" t="s">
        <v>183</v>
      </c>
      <c r="J93" s="62"/>
      <c r="K93" s="44"/>
      <c r="L93" s="57"/>
      <c r="M93" s="57" t="s">
        <v>507</v>
      </c>
      <c r="N93" s="26"/>
      <c r="O93" s="48">
        <v>69</v>
      </c>
      <c r="P93" s="31" t="s">
        <v>274</v>
      </c>
      <c r="Q93" s="55"/>
      <c r="R93" s="32" t="s">
        <v>207</v>
      </c>
      <c r="S93" s="63">
        <v>1</v>
      </c>
      <c r="T93" s="28" t="s">
        <v>183</v>
      </c>
      <c r="U93" s="62"/>
      <c r="V93" s="44"/>
      <c r="W93" s="55"/>
      <c r="X93" s="4"/>
    </row>
    <row r="94" spans="2:24" s="1" customFormat="1" ht="16.5" customHeight="1" x14ac:dyDescent="0.3">
      <c r="B94" s="1" t="s">
        <v>480</v>
      </c>
      <c r="C94" s="21"/>
      <c r="D94" s="48">
        <v>70</v>
      </c>
      <c r="E94" s="31" t="s">
        <v>275</v>
      </c>
      <c r="F94" s="55"/>
      <c r="G94" s="32" t="s">
        <v>457</v>
      </c>
      <c r="H94" s="63">
        <v>1</v>
      </c>
      <c r="I94" s="28" t="s">
        <v>183</v>
      </c>
      <c r="J94" s="62"/>
      <c r="K94" s="44"/>
      <c r="L94" s="57"/>
      <c r="M94" s="57" t="s">
        <v>507</v>
      </c>
      <c r="N94" s="26"/>
      <c r="O94" s="48">
        <v>70</v>
      </c>
      <c r="P94" s="31" t="s">
        <v>275</v>
      </c>
      <c r="Q94" s="55"/>
      <c r="R94" s="32" t="s">
        <v>207</v>
      </c>
      <c r="S94" s="63">
        <v>1</v>
      </c>
      <c r="T94" s="28" t="s">
        <v>183</v>
      </c>
      <c r="U94" s="62"/>
      <c r="V94" s="44"/>
      <c r="W94" s="55"/>
      <c r="X94" s="4"/>
    </row>
    <row r="95" spans="2:24" s="1" customFormat="1" ht="16.5" customHeight="1" x14ac:dyDescent="0.3">
      <c r="B95" s="1" t="s">
        <v>480</v>
      </c>
      <c r="C95" s="21"/>
      <c r="D95" s="48">
        <v>71</v>
      </c>
      <c r="E95" s="31" t="s">
        <v>276</v>
      </c>
      <c r="F95" s="55"/>
      <c r="G95" s="32" t="s">
        <v>473</v>
      </c>
      <c r="H95" s="63" t="s">
        <v>471</v>
      </c>
      <c r="I95" s="28" t="s">
        <v>183</v>
      </c>
      <c r="J95" s="62"/>
      <c r="K95" s="44"/>
      <c r="L95" s="57"/>
      <c r="M95" s="57" t="s">
        <v>507</v>
      </c>
      <c r="N95" s="26"/>
      <c r="O95" s="48">
        <v>71</v>
      </c>
      <c r="P95" s="31" t="s">
        <v>276</v>
      </c>
      <c r="Q95" s="55"/>
      <c r="R95" s="32" t="s">
        <v>201</v>
      </c>
      <c r="S95" s="63">
        <v>15</v>
      </c>
      <c r="T95" s="28" t="s">
        <v>183</v>
      </c>
      <c r="U95" s="62"/>
      <c r="V95" s="44"/>
      <c r="W95" s="55"/>
      <c r="X95" s="4"/>
    </row>
    <row r="96" spans="2:24" s="1" customFormat="1" ht="16.5" customHeight="1" x14ac:dyDescent="0.3">
      <c r="B96" s="1" t="s">
        <v>480</v>
      </c>
      <c r="C96" s="21"/>
      <c r="D96" s="48">
        <v>72</v>
      </c>
      <c r="E96" s="31" t="s">
        <v>277</v>
      </c>
      <c r="F96" s="55"/>
      <c r="G96" s="32" t="s">
        <v>473</v>
      </c>
      <c r="H96" s="63" t="s">
        <v>471</v>
      </c>
      <c r="I96" s="28" t="s">
        <v>183</v>
      </c>
      <c r="J96" s="62"/>
      <c r="K96" s="44"/>
      <c r="L96" s="57"/>
      <c r="M96" s="57" t="s">
        <v>507</v>
      </c>
      <c r="N96" s="26"/>
      <c r="O96" s="48">
        <v>72</v>
      </c>
      <c r="P96" s="31" t="s">
        <v>277</v>
      </c>
      <c r="Q96" s="55"/>
      <c r="R96" s="32" t="s">
        <v>201</v>
      </c>
      <c r="S96" s="63">
        <v>15</v>
      </c>
      <c r="T96" s="28" t="s">
        <v>183</v>
      </c>
      <c r="U96" s="62"/>
      <c r="V96" s="44"/>
      <c r="W96" s="55"/>
      <c r="X96" s="4"/>
    </row>
    <row r="97" spans="2:24" s="1" customFormat="1" ht="16.5" customHeight="1" x14ac:dyDescent="0.3">
      <c r="B97" s="1" t="s">
        <v>480</v>
      </c>
      <c r="C97" s="21"/>
      <c r="D97" s="48">
        <v>73</v>
      </c>
      <c r="E97" s="31" t="s">
        <v>278</v>
      </c>
      <c r="F97" s="55"/>
      <c r="G97" s="32" t="s">
        <v>473</v>
      </c>
      <c r="H97" s="63" t="s">
        <v>471</v>
      </c>
      <c r="I97" s="28" t="s">
        <v>183</v>
      </c>
      <c r="J97" s="62"/>
      <c r="K97" s="44"/>
      <c r="L97" s="57"/>
      <c r="M97" s="57" t="s">
        <v>507</v>
      </c>
      <c r="N97" s="26"/>
      <c r="O97" s="48">
        <v>73</v>
      </c>
      <c r="P97" s="31" t="s">
        <v>278</v>
      </c>
      <c r="Q97" s="55"/>
      <c r="R97" s="32" t="s">
        <v>201</v>
      </c>
      <c r="S97" s="63">
        <v>15</v>
      </c>
      <c r="T97" s="28" t="s">
        <v>183</v>
      </c>
      <c r="U97" s="62"/>
      <c r="V97" s="44"/>
      <c r="W97" s="55"/>
      <c r="X97" s="4"/>
    </row>
    <row r="98" spans="2:24" s="1" customFormat="1" ht="16.5" customHeight="1" x14ac:dyDescent="0.3">
      <c r="B98" s="1" t="s">
        <v>480</v>
      </c>
      <c r="C98" s="21"/>
      <c r="D98" s="48">
        <v>74</v>
      </c>
      <c r="E98" s="31" t="s">
        <v>279</v>
      </c>
      <c r="F98" s="55"/>
      <c r="G98" s="32" t="s">
        <v>457</v>
      </c>
      <c r="H98" s="63">
        <v>1</v>
      </c>
      <c r="I98" s="28" t="s">
        <v>183</v>
      </c>
      <c r="J98" s="44" t="s">
        <v>434</v>
      </c>
      <c r="K98" s="44" t="s">
        <v>450</v>
      </c>
      <c r="L98" s="57"/>
      <c r="M98" s="57" t="s">
        <v>507</v>
      </c>
      <c r="N98" s="26"/>
      <c r="O98" s="48">
        <v>74</v>
      </c>
      <c r="P98" s="31" t="s">
        <v>279</v>
      </c>
      <c r="Q98" s="55"/>
      <c r="R98" s="32" t="s">
        <v>207</v>
      </c>
      <c r="S98" s="63">
        <v>1</v>
      </c>
      <c r="T98" s="28" t="s">
        <v>183</v>
      </c>
      <c r="U98" s="44" t="s">
        <v>434</v>
      </c>
      <c r="V98" s="44" t="s">
        <v>450</v>
      </c>
      <c r="W98" s="55"/>
      <c r="X98" s="4"/>
    </row>
    <row r="99" spans="2:24" s="1" customFormat="1" ht="16.5" customHeight="1" x14ac:dyDescent="0.3">
      <c r="B99" s="1" t="s">
        <v>480</v>
      </c>
      <c r="C99" s="21"/>
      <c r="D99" s="48">
        <v>75</v>
      </c>
      <c r="E99" s="31" t="s">
        <v>280</v>
      </c>
      <c r="F99" s="55"/>
      <c r="G99" s="32" t="s">
        <v>458</v>
      </c>
      <c r="H99" s="63"/>
      <c r="I99" s="28" t="s">
        <v>183</v>
      </c>
      <c r="J99" s="62"/>
      <c r="K99" s="44"/>
      <c r="L99" s="57"/>
      <c r="M99" s="57" t="s">
        <v>507</v>
      </c>
      <c r="N99" s="26"/>
      <c r="O99" s="48">
        <v>75</v>
      </c>
      <c r="P99" s="31" t="s">
        <v>280</v>
      </c>
      <c r="Q99" s="55"/>
      <c r="R99" s="32" t="s">
        <v>202</v>
      </c>
      <c r="S99" s="63"/>
      <c r="T99" s="28" t="s">
        <v>183</v>
      </c>
      <c r="U99" s="62"/>
      <c r="V99" s="44"/>
      <c r="W99" s="55"/>
      <c r="X99" s="4"/>
    </row>
    <row r="100" spans="2:24" s="1" customFormat="1" ht="16.5" customHeight="1" x14ac:dyDescent="0.3">
      <c r="B100" s="1" t="s">
        <v>480</v>
      </c>
      <c r="C100" s="21"/>
      <c r="D100" s="48">
        <v>76</v>
      </c>
      <c r="E100" s="31" t="s">
        <v>281</v>
      </c>
      <c r="F100" s="55"/>
      <c r="G100" s="32" t="s">
        <v>473</v>
      </c>
      <c r="H100" s="63" t="s">
        <v>471</v>
      </c>
      <c r="I100" s="28" t="s">
        <v>183</v>
      </c>
      <c r="J100" s="44" t="s">
        <v>435</v>
      </c>
      <c r="K100" s="44" t="s">
        <v>450</v>
      </c>
      <c r="L100" s="57"/>
      <c r="M100" s="57" t="s">
        <v>507</v>
      </c>
      <c r="N100" s="26"/>
      <c r="O100" s="48">
        <v>76</v>
      </c>
      <c r="P100" s="31" t="s">
        <v>281</v>
      </c>
      <c r="Q100" s="55"/>
      <c r="R100" s="32" t="s">
        <v>201</v>
      </c>
      <c r="S100" s="63">
        <v>15</v>
      </c>
      <c r="T100" s="28" t="s">
        <v>183</v>
      </c>
      <c r="U100" s="44" t="s">
        <v>435</v>
      </c>
      <c r="V100" s="44" t="s">
        <v>450</v>
      </c>
      <c r="W100" s="55"/>
      <c r="X100" s="4"/>
    </row>
    <row r="101" spans="2:24" s="1" customFormat="1" ht="16.5" customHeight="1" x14ac:dyDescent="0.3">
      <c r="B101" s="1" t="s">
        <v>480</v>
      </c>
      <c r="C101" s="21"/>
      <c r="D101" s="48">
        <v>77</v>
      </c>
      <c r="E101" s="31" t="s">
        <v>282</v>
      </c>
      <c r="F101" s="55"/>
      <c r="G101" s="32" t="s">
        <v>458</v>
      </c>
      <c r="H101" s="63"/>
      <c r="I101" s="28" t="s">
        <v>183</v>
      </c>
      <c r="J101" s="62"/>
      <c r="K101" s="44"/>
      <c r="L101" s="57"/>
      <c r="M101" s="57" t="s">
        <v>507</v>
      </c>
      <c r="N101" s="26"/>
      <c r="O101" s="48">
        <v>77</v>
      </c>
      <c r="P101" s="31" t="s">
        <v>282</v>
      </c>
      <c r="Q101" s="55"/>
      <c r="R101" s="32" t="s">
        <v>202</v>
      </c>
      <c r="S101" s="63"/>
      <c r="T101" s="28" t="s">
        <v>183</v>
      </c>
      <c r="U101" s="62"/>
      <c r="V101" s="44"/>
      <c r="W101" s="55"/>
      <c r="X101" s="4"/>
    </row>
    <row r="102" spans="2:24" s="1" customFormat="1" ht="16.5" customHeight="1" x14ac:dyDescent="0.3">
      <c r="B102" s="1" t="s">
        <v>480</v>
      </c>
      <c r="C102" s="21"/>
      <c r="D102" s="48">
        <v>78</v>
      </c>
      <c r="E102" s="31" t="s">
        <v>283</v>
      </c>
      <c r="F102" s="55"/>
      <c r="G102" s="32" t="s">
        <v>458</v>
      </c>
      <c r="H102" s="63"/>
      <c r="I102" s="28" t="s">
        <v>183</v>
      </c>
      <c r="J102" s="62"/>
      <c r="K102" s="44"/>
      <c r="L102" s="57"/>
      <c r="M102" s="57" t="s">
        <v>507</v>
      </c>
      <c r="N102" s="26"/>
      <c r="O102" s="48">
        <v>78</v>
      </c>
      <c r="P102" s="31" t="s">
        <v>283</v>
      </c>
      <c r="Q102" s="55"/>
      <c r="R102" s="32" t="s">
        <v>202</v>
      </c>
      <c r="S102" s="63"/>
      <c r="T102" s="28" t="s">
        <v>183</v>
      </c>
      <c r="U102" s="62"/>
      <c r="V102" s="44"/>
      <c r="W102" s="55"/>
      <c r="X102" s="4"/>
    </row>
    <row r="103" spans="2:24" s="1" customFormat="1" ht="16.5" customHeight="1" x14ac:dyDescent="0.3">
      <c r="B103" s="1" t="s">
        <v>480</v>
      </c>
      <c r="C103" s="21"/>
      <c r="D103" s="48">
        <v>79</v>
      </c>
      <c r="E103" s="31" t="s">
        <v>205</v>
      </c>
      <c r="F103" s="55"/>
      <c r="G103" s="32" t="s">
        <v>473</v>
      </c>
      <c r="H103" s="63" t="s">
        <v>471</v>
      </c>
      <c r="I103" s="28" t="s">
        <v>183</v>
      </c>
      <c r="J103" s="44" t="s">
        <v>436</v>
      </c>
      <c r="K103" s="44"/>
      <c r="L103" s="57"/>
      <c r="M103" s="57" t="s">
        <v>507</v>
      </c>
      <c r="N103" s="26"/>
      <c r="O103" s="48">
        <v>79</v>
      </c>
      <c r="P103" s="31" t="s">
        <v>205</v>
      </c>
      <c r="Q103" s="55"/>
      <c r="R103" s="32" t="s">
        <v>201</v>
      </c>
      <c r="S103" s="63">
        <v>15</v>
      </c>
      <c r="T103" s="28" t="s">
        <v>183</v>
      </c>
      <c r="U103" s="44" t="s">
        <v>436</v>
      </c>
      <c r="V103" s="44"/>
      <c r="W103" s="55"/>
      <c r="X103" s="4"/>
    </row>
    <row r="104" spans="2:24" s="1" customFormat="1" ht="16.5" customHeight="1" x14ac:dyDescent="0.3">
      <c r="B104" s="1" t="s">
        <v>480</v>
      </c>
      <c r="C104" s="21"/>
      <c r="D104" s="48">
        <v>80</v>
      </c>
      <c r="E104" s="31" t="s">
        <v>284</v>
      </c>
      <c r="F104" s="55"/>
      <c r="G104" s="32" t="s">
        <v>457</v>
      </c>
      <c r="H104" s="63">
        <v>30</v>
      </c>
      <c r="I104" s="28" t="s">
        <v>183</v>
      </c>
      <c r="J104" s="44" t="s">
        <v>437</v>
      </c>
      <c r="K104" s="44" t="s">
        <v>451</v>
      </c>
      <c r="L104" s="57"/>
      <c r="M104" s="57" t="s">
        <v>507</v>
      </c>
      <c r="N104" s="26"/>
      <c r="O104" s="48">
        <v>80</v>
      </c>
      <c r="P104" s="31" t="s">
        <v>284</v>
      </c>
      <c r="Q104" s="55"/>
      <c r="R104" s="32" t="s">
        <v>207</v>
      </c>
      <c r="S104" s="63">
        <v>30</v>
      </c>
      <c r="T104" s="28" t="s">
        <v>183</v>
      </c>
      <c r="U104" s="44" t="s">
        <v>437</v>
      </c>
      <c r="V104" s="44" t="s">
        <v>451</v>
      </c>
      <c r="W104" s="55"/>
      <c r="X104" s="4"/>
    </row>
    <row r="105" spans="2:24" s="1" customFormat="1" ht="16.5" customHeight="1" x14ac:dyDescent="0.3">
      <c r="B105" s="1" t="s">
        <v>480</v>
      </c>
      <c r="C105" s="21"/>
      <c r="D105" s="48">
        <v>81</v>
      </c>
      <c r="E105" s="31" t="s">
        <v>285</v>
      </c>
      <c r="F105" s="55"/>
      <c r="G105" s="32" t="s">
        <v>457</v>
      </c>
      <c r="H105" s="63">
        <v>25</v>
      </c>
      <c r="I105" s="28" t="s">
        <v>183</v>
      </c>
      <c r="J105" s="44" t="s">
        <v>438</v>
      </c>
      <c r="K105" s="44" t="s">
        <v>452</v>
      </c>
      <c r="L105" s="57"/>
      <c r="M105" s="57" t="s">
        <v>507</v>
      </c>
      <c r="N105" s="26"/>
      <c r="O105" s="48">
        <v>81</v>
      </c>
      <c r="P105" s="31" t="s">
        <v>285</v>
      </c>
      <c r="Q105" s="55"/>
      <c r="R105" s="32" t="s">
        <v>207</v>
      </c>
      <c r="S105" s="63">
        <v>25</v>
      </c>
      <c r="T105" s="28" t="s">
        <v>183</v>
      </c>
      <c r="U105" s="44" t="s">
        <v>438</v>
      </c>
      <c r="V105" s="44" t="s">
        <v>452</v>
      </c>
      <c r="W105" s="55"/>
      <c r="X105" s="4"/>
    </row>
    <row r="106" spans="2:24" s="1" customFormat="1" ht="16.5" customHeight="1" x14ac:dyDescent="0.3">
      <c r="B106" s="1" t="s">
        <v>480</v>
      </c>
      <c r="C106" s="21"/>
      <c r="D106" s="48">
        <v>82</v>
      </c>
      <c r="E106" s="31" t="s">
        <v>286</v>
      </c>
      <c r="F106" s="55"/>
      <c r="G106" s="32" t="s">
        <v>458</v>
      </c>
      <c r="H106" s="63"/>
      <c r="I106" s="28" t="s">
        <v>183</v>
      </c>
      <c r="J106" s="62"/>
      <c r="K106" s="44"/>
      <c r="L106" s="57"/>
      <c r="M106" s="57" t="s">
        <v>507</v>
      </c>
      <c r="N106" s="26"/>
      <c r="O106" s="48">
        <v>82</v>
      </c>
      <c r="P106" s="31" t="s">
        <v>286</v>
      </c>
      <c r="Q106" s="55"/>
      <c r="R106" s="32" t="s">
        <v>202</v>
      </c>
      <c r="S106" s="63"/>
      <c r="T106" s="28" t="s">
        <v>183</v>
      </c>
      <c r="U106" s="62"/>
      <c r="V106" s="44"/>
      <c r="W106" s="55"/>
      <c r="X106" s="4"/>
    </row>
    <row r="107" spans="2:24" s="1" customFormat="1" ht="16.5" customHeight="1" x14ac:dyDescent="0.3">
      <c r="B107" s="1" t="s">
        <v>480</v>
      </c>
      <c r="C107" s="21"/>
      <c r="D107" s="48">
        <v>83</v>
      </c>
      <c r="E107" s="31" t="s">
        <v>287</v>
      </c>
      <c r="F107" s="55"/>
      <c r="G107" s="32" t="s">
        <v>458</v>
      </c>
      <c r="H107" s="63"/>
      <c r="I107" s="28" t="s">
        <v>183</v>
      </c>
      <c r="J107" s="62"/>
      <c r="K107" s="44"/>
      <c r="L107" s="57"/>
      <c r="M107" s="57" t="s">
        <v>507</v>
      </c>
      <c r="N107" s="26"/>
      <c r="O107" s="48">
        <v>83</v>
      </c>
      <c r="P107" s="31" t="s">
        <v>287</v>
      </c>
      <c r="Q107" s="55"/>
      <c r="R107" s="32" t="s">
        <v>202</v>
      </c>
      <c r="S107" s="63"/>
      <c r="T107" s="28" t="s">
        <v>183</v>
      </c>
      <c r="U107" s="62"/>
      <c r="V107" s="44"/>
      <c r="W107" s="55"/>
      <c r="X107" s="4"/>
    </row>
    <row r="108" spans="2:24" s="1" customFormat="1" ht="16.5" customHeight="1" x14ac:dyDescent="0.3">
      <c r="B108" s="1" t="s">
        <v>480</v>
      </c>
      <c r="C108" s="21"/>
      <c r="D108" s="48">
        <v>84</v>
      </c>
      <c r="E108" s="31" t="s">
        <v>288</v>
      </c>
      <c r="F108" s="55"/>
      <c r="G108" s="32" t="s">
        <v>458</v>
      </c>
      <c r="H108" s="63"/>
      <c r="I108" s="28" t="s">
        <v>183</v>
      </c>
      <c r="J108" s="62"/>
      <c r="K108" s="44"/>
      <c r="L108" s="57"/>
      <c r="M108" s="57" t="s">
        <v>507</v>
      </c>
      <c r="N108" s="26"/>
      <c r="O108" s="48">
        <v>84</v>
      </c>
      <c r="P108" s="31" t="s">
        <v>288</v>
      </c>
      <c r="Q108" s="55"/>
      <c r="R108" s="32" t="s">
        <v>202</v>
      </c>
      <c r="S108" s="63"/>
      <c r="T108" s="28" t="s">
        <v>183</v>
      </c>
      <c r="U108" s="62"/>
      <c r="V108" s="44"/>
      <c r="W108" s="55"/>
      <c r="X108" s="4"/>
    </row>
    <row r="109" spans="2:24" s="1" customFormat="1" ht="16.5" customHeight="1" x14ac:dyDescent="0.3">
      <c r="B109" s="1" t="s">
        <v>480</v>
      </c>
      <c r="C109" s="21"/>
      <c r="D109" s="48">
        <v>85</v>
      </c>
      <c r="E109" s="31" t="s">
        <v>289</v>
      </c>
      <c r="F109" s="55"/>
      <c r="G109" s="32" t="s">
        <v>458</v>
      </c>
      <c r="H109" s="63"/>
      <c r="I109" s="28" t="s">
        <v>183</v>
      </c>
      <c r="J109" s="62"/>
      <c r="K109" s="44"/>
      <c r="L109" s="57"/>
      <c r="M109" s="57" t="s">
        <v>507</v>
      </c>
      <c r="N109" s="26"/>
      <c r="O109" s="48">
        <v>85</v>
      </c>
      <c r="P109" s="31" t="s">
        <v>289</v>
      </c>
      <c r="Q109" s="55"/>
      <c r="R109" s="32" t="s">
        <v>202</v>
      </c>
      <c r="S109" s="63"/>
      <c r="T109" s="28" t="s">
        <v>183</v>
      </c>
      <c r="U109" s="62"/>
      <c r="V109" s="44"/>
      <c r="W109" s="55"/>
      <c r="X109" s="4"/>
    </row>
    <row r="110" spans="2:24" s="1" customFormat="1" ht="16.5" customHeight="1" x14ac:dyDescent="0.3">
      <c r="B110" s="1" t="s">
        <v>480</v>
      </c>
      <c r="C110" s="21"/>
      <c r="D110" s="48">
        <v>86</v>
      </c>
      <c r="E110" s="31" t="s">
        <v>290</v>
      </c>
      <c r="F110" s="55"/>
      <c r="G110" s="32" t="s">
        <v>458</v>
      </c>
      <c r="H110" s="63"/>
      <c r="I110" s="28" t="s">
        <v>183</v>
      </c>
      <c r="J110" s="62"/>
      <c r="K110" s="44"/>
      <c r="L110" s="57"/>
      <c r="M110" s="57" t="s">
        <v>507</v>
      </c>
      <c r="N110" s="26"/>
      <c r="O110" s="48">
        <v>86</v>
      </c>
      <c r="P110" s="31" t="s">
        <v>290</v>
      </c>
      <c r="Q110" s="55"/>
      <c r="R110" s="32" t="s">
        <v>202</v>
      </c>
      <c r="S110" s="63"/>
      <c r="T110" s="28" t="s">
        <v>183</v>
      </c>
      <c r="U110" s="62"/>
      <c r="V110" s="44"/>
      <c r="W110" s="55"/>
      <c r="X110" s="4"/>
    </row>
    <row r="111" spans="2:24" s="1" customFormat="1" ht="16.5" customHeight="1" x14ac:dyDescent="0.3">
      <c r="B111" s="1" t="s">
        <v>480</v>
      </c>
      <c r="C111" s="21"/>
      <c r="D111" s="48">
        <v>87</v>
      </c>
      <c r="E111" s="31" t="s">
        <v>291</v>
      </c>
      <c r="F111" s="55"/>
      <c r="G111" s="32" t="s">
        <v>458</v>
      </c>
      <c r="H111" s="63"/>
      <c r="I111" s="28" t="s">
        <v>183</v>
      </c>
      <c r="J111" s="62"/>
      <c r="K111" s="44"/>
      <c r="L111" s="57"/>
      <c r="M111" s="57" t="s">
        <v>507</v>
      </c>
      <c r="N111" s="26"/>
      <c r="O111" s="48">
        <v>87</v>
      </c>
      <c r="P111" s="31" t="s">
        <v>291</v>
      </c>
      <c r="Q111" s="55"/>
      <c r="R111" s="32" t="s">
        <v>202</v>
      </c>
      <c r="S111" s="63"/>
      <c r="T111" s="28" t="s">
        <v>183</v>
      </c>
      <c r="U111" s="62"/>
      <c r="V111" s="44"/>
      <c r="W111" s="55"/>
      <c r="X111" s="4"/>
    </row>
    <row r="112" spans="2:24" s="1" customFormat="1" ht="16.5" customHeight="1" x14ac:dyDescent="0.3">
      <c r="B112" s="1" t="s">
        <v>480</v>
      </c>
      <c r="C112" s="21"/>
      <c r="D112" s="48">
        <v>88</v>
      </c>
      <c r="E112" s="31" t="s">
        <v>292</v>
      </c>
      <c r="F112" s="55"/>
      <c r="G112" s="32" t="s">
        <v>458</v>
      </c>
      <c r="H112" s="63"/>
      <c r="I112" s="28" t="s">
        <v>183</v>
      </c>
      <c r="J112" s="62"/>
      <c r="K112" s="44"/>
      <c r="L112" s="57"/>
      <c r="M112" s="57" t="s">
        <v>507</v>
      </c>
      <c r="N112" s="26"/>
      <c r="O112" s="48">
        <v>88</v>
      </c>
      <c r="P112" s="31" t="s">
        <v>292</v>
      </c>
      <c r="Q112" s="55"/>
      <c r="R112" s="32" t="s">
        <v>202</v>
      </c>
      <c r="S112" s="63"/>
      <c r="T112" s="28" t="s">
        <v>183</v>
      </c>
      <c r="U112" s="62"/>
      <c r="V112" s="44"/>
      <c r="W112" s="55"/>
      <c r="X112" s="4"/>
    </row>
    <row r="113" spans="2:24" s="1" customFormat="1" ht="16.5" customHeight="1" x14ac:dyDescent="0.3">
      <c r="B113" s="1" t="s">
        <v>480</v>
      </c>
      <c r="C113" s="21"/>
      <c r="D113" s="48">
        <v>89</v>
      </c>
      <c r="E113" s="31" t="s">
        <v>293</v>
      </c>
      <c r="F113" s="55"/>
      <c r="G113" s="32" t="s">
        <v>458</v>
      </c>
      <c r="H113" s="63"/>
      <c r="I113" s="28" t="s">
        <v>183</v>
      </c>
      <c r="J113" s="62"/>
      <c r="K113" s="44"/>
      <c r="L113" s="57"/>
      <c r="M113" s="57" t="s">
        <v>507</v>
      </c>
      <c r="N113" s="26"/>
      <c r="O113" s="48">
        <v>89</v>
      </c>
      <c r="P113" s="31" t="s">
        <v>293</v>
      </c>
      <c r="Q113" s="55"/>
      <c r="R113" s="32" t="s">
        <v>202</v>
      </c>
      <c r="S113" s="63"/>
      <c r="T113" s="28" t="s">
        <v>183</v>
      </c>
      <c r="U113" s="62"/>
      <c r="V113" s="44"/>
      <c r="W113" s="55"/>
      <c r="X113" s="4"/>
    </row>
    <row r="114" spans="2:24" s="1" customFormat="1" ht="16.5" customHeight="1" x14ac:dyDescent="0.3">
      <c r="B114" s="1" t="s">
        <v>480</v>
      </c>
      <c r="C114" s="21"/>
      <c r="D114" s="48">
        <v>90</v>
      </c>
      <c r="E114" s="31" t="s">
        <v>294</v>
      </c>
      <c r="F114" s="55"/>
      <c r="G114" s="32" t="s">
        <v>473</v>
      </c>
      <c r="H114" s="63" t="s">
        <v>472</v>
      </c>
      <c r="I114" s="28" t="s">
        <v>183</v>
      </c>
      <c r="J114" s="62"/>
      <c r="K114" s="44"/>
      <c r="L114" s="57"/>
      <c r="M114" s="57" t="s">
        <v>507</v>
      </c>
      <c r="N114" s="26"/>
      <c r="O114" s="48">
        <v>90</v>
      </c>
      <c r="P114" s="31" t="s">
        <v>294</v>
      </c>
      <c r="Q114" s="55"/>
      <c r="R114" s="32" t="s">
        <v>201</v>
      </c>
      <c r="S114" s="63">
        <v>15</v>
      </c>
      <c r="T114" s="28" t="s">
        <v>183</v>
      </c>
      <c r="U114" s="62"/>
      <c r="V114" s="44"/>
      <c r="W114" s="55"/>
      <c r="X114" s="4"/>
    </row>
    <row r="115" spans="2:24" s="1" customFormat="1" ht="16.5" customHeight="1" x14ac:dyDescent="0.3">
      <c r="B115" s="1" t="s">
        <v>480</v>
      </c>
      <c r="C115" s="21"/>
      <c r="D115" s="48">
        <v>91</v>
      </c>
      <c r="E115" s="31" t="s">
        <v>295</v>
      </c>
      <c r="F115" s="55"/>
      <c r="G115" s="32" t="s">
        <v>457</v>
      </c>
      <c r="H115" s="63">
        <v>1</v>
      </c>
      <c r="I115" s="28" t="s">
        <v>183</v>
      </c>
      <c r="J115" s="62"/>
      <c r="K115" s="44"/>
      <c r="L115" s="57"/>
      <c r="M115" s="57" t="s">
        <v>507</v>
      </c>
      <c r="N115" s="26"/>
      <c r="O115" s="48">
        <v>91</v>
      </c>
      <c r="P115" s="31" t="s">
        <v>295</v>
      </c>
      <c r="Q115" s="55"/>
      <c r="R115" s="32" t="s">
        <v>207</v>
      </c>
      <c r="S115" s="63">
        <v>1</v>
      </c>
      <c r="T115" s="28" t="s">
        <v>183</v>
      </c>
      <c r="U115" s="62"/>
      <c r="V115" s="44"/>
      <c r="W115" s="55"/>
      <c r="X115" s="4"/>
    </row>
    <row r="116" spans="2:24" s="1" customFormat="1" ht="16.5" customHeight="1" x14ac:dyDescent="0.3">
      <c r="B116" s="1" t="s">
        <v>480</v>
      </c>
      <c r="C116" s="21"/>
      <c r="D116" s="48">
        <v>92</v>
      </c>
      <c r="E116" s="31" t="s">
        <v>296</v>
      </c>
      <c r="F116" s="55"/>
      <c r="G116" s="32" t="s">
        <v>457</v>
      </c>
      <c r="H116" s="63">
        <v>30</v>
      </c>
      <c r="I116" s="28" t="s">
        <v>183</v>
      </c>
      <c r="J116" s="44" t="s">
        <v>439</v>
      </c>
      <c r="K116" s="44" t="s">
        <v>453</v>
      </c>
      <c r="L116" s="57"/>
      <c r="M116" s="57" t="s">
        <v>507</v>
      </c>
      <c r="N116" s="26"/>
      <c r="O116" s="48">
        <v>92</v>
      </c>
      <c r="P116" s="31" t="s">
        <v>296</v>
      </c>
      <c r="Q116" s="55"/>
      <c r="R116" s="32" t="s">
        <v>207</v>
      </c>
      <c r="S116" s="63">
        <v>30</v>
      </c>
      <c r="T116" s="28" t="s">
        <v>183</v>
      </c>
      <c r="U116" s="44" t="s">
        <v>439</v>
      </c>
      <c r="V116" s="44" t="s">
        <v>453</v>
      </c>
      <c r="W116" s="55"/>
      <c r="X116" s="4"/>
    </row>
    <row r="117" spans="2:24" s="1" customFormat="1" ht="16.5" customHeight="1" x14ac:dyDescent="0.3">
      <c r="B117" s="1" t="s">
        <v>480</v>
      </c>
      <c r="C117" s="21"/>
      <c r="D117" s="48">
        <v>93</v>
      </c>
      <c r="E117" s="31" t="s">
        <v>297</v>
      </c>
      <c r="F117" s="55"/>
      <c r="G117" s="32" t="s">
        <v>457</v>
      </c>
      <c r="H117" s="63">
        <v>50</v>
      </c>
      <c r="I117" s="28" t="s">
        <v>183</v>
      </c>
      <c r="J117" s="44" t="s">
        <v>440</v>
      </c>
      <c r="K117" s="44" t="s">
        <v>454</v>
      </c>
      <c r="L117" s="57"/>
      <c r="M117" s="57" t="s">
        <v>507</v>
      </c>
      <c r="N117" s="26"/>
      <c r="O117" s="48">
        <v>93</v>
      </c>
      <c r="P117" s="31" t="s">
        <v>297</v>
      </c>
      <c r="Q117" s="55"/>
      <c r="R117" s="32" t="s">
        <v>207</v>
      </c>
      <c r="S117" s="63">
        <v>50</v>
      </c>
      <c r="T117" s="28" t="s">
        <v>183</v>
      </c>
      <c r="U117" s="44" t="s">
        <v>440</v>
      </c>
      <c r="V117" s="44" t="s">
        <v>454</v>
      </c>
      <c r="W117" s="55"/>
      <c r="X117" s="4"/>
    </row>
    <row r="118" spans="2:24" s="1" customFormat="1" ht="16.5" customHeight="1" x14ac:dyDescent="0.3">
      <c r="B118" s="1" t="s">
        <v>480</v>
      </c>
      <c r="C118" s="21"/>
      <c r="D118" s="48">
        <v>94</v>
      </c>
      <c r="E118" s="31" t="s">
        <v>298</v>
      </c>
      <c r="F118" s="55"/>
      <c r="G118" s="32" t="s">
        <v>457</v>
      </c>
      <c r="H118" s="63">
        <v>50</v>
      </c>
      <c r="I118" s="28" t="s">
        <v>183</v>
      </c>
      <c r="J118" s="62"/>
      <c r="K118" s="44"/>
      <c r="L118" s="57"/>
      <c r="M118" s="57" t="s">
        <v>507</v>
      </c>
      <c r="N118" s="26"/>
      <c r="O118" s="48">
        <v>94</v>
      </c>
      <c r="P118" s="31" t="s">
        <v>298</v>
      </c>
      <c r="Q118" s="55"/>
      <c r="R118" s="32" t="s">
        <v>207</v>
      </c>
      <c r="S118" s="63">
        <v>50</v>
      </c>
      <c r="T118" s="28" t="s">
        <v>183</v>
      </c>
      <c r="U118" s="62"/>
      <c r="V118" s="44"/>
      <c r="W118" s="55"/>
      <c r="X118" s="4"/>
    </row>
    <row r="119" spans="2:24" s="1" customFormat="1" ht="16.5" customHeight="1" x14ac:dyDescent="0.3">
      <c r="B119" s="1" t="s">
        <v>480</v>
      </c>
      <c r="C119" s="21"/>
      <c r="D119" s="48">
        <v>95</v>
      </c>
      <c r="E119" s="31" t="s">
        <v>299</v>
      </c>
      <c r="F119" s="55"/>
      <c r="G119" s="32" t="s">
        <v>457</v>
      </c>
      <c r="H119" s="63">
        <v>15</v>
      </c>
      <c r="I119" s="28" t="s">
        <v>203</v>
      </c>
      <c r="J119" s="44" t="s">
        <v>441</v>
      </c>
      <c r="K119" s="44" t="s">
        <v>455</v>
      </c>
      <c r="L119" s="57"/>
      <c r="M119" s="57" t="s">
        <v>507</v>
      </c>
      <c r="N119" s="26"/>
      <c r="O119" s="48">
        <v>95</v>
      </c>
      <c r="P119" s="31" t="s">
        <v>299</v>
      </c>
      <c r="Q119" s="55"/>
      <c r="R119" s="32" t="s">
        <v>207</v>
      </c>
      <c r="S119" s="63">
        <v>15</v>
      </c>
      <c r="T119" s="28" t="s">
        <v>203</v>
      </c>
      <c r="U119" s="44" t="s">
        <v>441</v>
      </c>
      <c r="V119" s="44" t="s">
        <v>455</v>
      </c>
      <c r="W119" s="55"/>
      <c r="X119" s="4"/>
    </row>
    <row r="120" spans="2:24" s="1" customFormat="1" ht="16.5" customHeight="1" x14ac:dyDescent="0.3">
      <c r="B120" s="1" t="s">
        <v>480</v>
      </c>
      <c r="C120" s="21"/>
      <c r="D120" s="48">
        <v>96</v>
      </c>
      <c r="E120" s="31" t="s">
        <v>300</v>
      </c>
      <c r="F120" s="55"/>
      <c r="G120" s="32" t="s">
        <v>457</v>
      </c>
      <c r="H120" s="63">
        <v>1</v>
      </c>
      <c r="I120" s="28" t="s">
        <v>203</v>
      </c>
      <c r="J120" s="62"/>
      <c r="K120" s="44"/>
      <c r="L120" s="57"/>
      <c r="M120" s="57" t="s">
        <v>507</v>
      </c>
      <c r="N120" s="26"/>
      <c r="O120" s="48">
        <v>96</v>
      </c>
      <c r="P120" s="31" t="s">
        <v>300</v>
      </c>
      <c r="Q120" s="55"/>
      <c r="R120" s="32" t="s">
        <v>207</v>
      </c>
      <c r="S120" s="63">
        <v>1</v>
      </c>
      <c r="T120" s="28" t="s">
        <v>203</v>
      </c>
      <c r="U120" s="62"/>
      <c r="V120" s="44"/>
      <c r="W120" s="55"/>
      <c r="X120" s="4"/>
    </row>
    <row r="121" spans="2:24" s="1" customFormat="1" ht="16.5" customHeight="1" x14ac:dyDescent="0.3">
      <c r="B121" s="1" t="s">
        <v>480</v>
      </c>
      <c r="C121" s="21"/>
      <c r="D121" s="48">
        <v>97</v>
      </c>
      <c r="E121" s="31" t="s">
        <v>301</v>
      </c>
      <c r="F121" s="55"/>
      <c r="G121" s="32" t="s">
        <v>458</v>
      </c>
      <c r="H121" s="63"/>
      <c r="I121" s="28" t="s">
        <v>183</v>
      </c>
      <c r="J121" s="62"/>
      <c r="K121" s="44"/>
      <c r="L121" s="57"/>
      <c r="M121" s="57" t="s">
        <v>507</v>
      </c>
      <c r="N121" s="26"/>
      <c r="O121" s="48">
        <v>97</v>
      </c>
      <c r="P121" s="31" t="s">
        <v>301</v>
      </c>
      <c r="Q121" s="55"/>
      <c r="R121" s="32" t="s">
        <v>202</v>
      </c>
      <c r="S121" s="63"/>
      <c r="T121" s="28" t="s">
        <v>183</v>
      </c>
      <c r="U121" s="62"/>
      <c r="V121" s="44"/>
      <c r="W121" s="55"/>
      <c r="X121" s="4"/>
    </row>
    <row r="122" spans="2:24" s="1" customFormat="1" ht="16.5" customHeight="1" x14ac:dyDescent="0.3">
      <c r="B122" s="1" t="s">
        <v>480</v>
      </c>
      <c r="C122" s="21"/>
      <c r="D122" s="48">
        <v>98</v>
      </c>
      <c r="E122" s="31" t="s">
        <v>302</v>
      </c>
      <c r="F122" s="55"/>
      <c r="G122" s="32" t="s">
        <v>457</v>
      </c>
      <c r="H122" s="63">
        <v>30</v>
      </c>
      <c r="I122" s="28" t="s">
        <v>183</v>
      </c>
      <c r="J122" s="62"/>
      <c r="K122" s="44"/>
      <c r="L122" s="57"/>
      <c r="M122" s="57" t="s">
        <v>507</v>
      </c>
      <c r="N122" s="26"/>
      <c r="O122" s="48">
        <v>98</v>
      </c>
      <c r="P122" s="31" t="s">
        <v>302</v>
      </c>
      <c r="Q122" s="55"/>
      <c r="R122" s="32" t="s">
        <v>207</v>
      </c>
      <c r="S122" s="63">
        <v>30</v>
      </c>
      <c r="T122" s="28" t="s">
        <v>183</v>
      </c>
      <c r="U122" s="62"/>
      <c r="V122" s="44"/>
      <c r="W122" s="55"/>
      <c r="X122" s="4"/>
    </row>
    <row r="123" spans="2:24" s="1" customFormat="1" ht="16.5" customHeight="1" x14ac:dyDescent="0.3">
      <c r="B123" s="1" t="s">
        <v>480</v>
      </c>
      <c r="C123" s="21"/>
      <c r="D123" s="48">
        <v>99</v>
      </c>
      <c r="E123" s="31" t="s">
        <v>303</v>
      </c>
      <c r="F123" s="55"/>
      <c r="G123" s="32" t="s">
        <v>457</v>
      </c>
      <c r="H123" s="63">
        <v>1</v>
      </c>
      <c r="I123" s="28" t="s">
        <v>203</v>
      </c>
      <c r="J123" s="62"/>
      <c r="K123" s="44"/>
      <c r="L123" s="57"/>
      <c r="M123" s="57" t="s">
        <v>507</v>
      </c>
      <c r="N123" s="26"/>
      <c r="O123" s="48">
        <v>99</v>
      </c>
      <c r="P123" s="31" t="s">
        <v>303</v>
      </c>
      <c r="Q123" s="55"/>
      <c r="R123" s="32" t="s">
        <v>207</v>
      </c>
      <c r="S123" s="63">
        <v>1</v>
      </c>
      <c r="T123" s="28" t="s">
        <v>203</v>
      </c>
      <c r="U123" s="62"/>
      <c r="V123" s="44"/>
      <c r="W123" s="55"/>
      <c r="X123" s="4"/>
    </row>
    <row r="124" spans="2:24" s="1" customFormat="1" ht="16.5" customHeight="1" x14ac:dyDescent="0.3">
      <c r="B124" s="1" t="s">
        <v>480</v>
      </c>
      <c r="C124" s="21"/>
      <c r="D124" s="48">
        <v>100</v>
      </c>
      <c r="E124" s="31" t="s">
        <v>304</v>
      </c>
      <c r="F124" s="55"/>
      <c r="G124" s="32" t="s">
        <v>473</v>
      </c>
      <c r="H124" s="63" t="s">
        <v>471</v>
      </c>
      <c r="I124" s="28" t="s">
        <v>183</v>
      </c>
      <c r="J124" s="62"/>
      <c r="K124" s="44"/>
      <c r="L124" s="57"/>
      <c r="M124" s="57" t="s">
        <v>507</v>
      </c>
      <c r="N124" s="26"/>
      <c r="O124" s="48">
        <v>100</v>
      </c>
      <c r="P124" s="31" t="s">
        <v>304</v>
      </c>
      <c r="Q124" s="55"/>
      <c r="R124" s="32" t="s">
        <v>201</v>
      </c>
      <c r="S124" s="63"/>
      <c r="T124" s="28" t="s">
        <v>183</v>
      </c>
      <c r="U124" s="62"/>
      <c r="V124" s="44"/>
      <c r="W124" s="55"/>
      <c r="X124" s="4"/>
    </row>
    <row r="125" spans="2:24" s="1" customFormat="1" ht="16.5" customHeight="1" x14ac:dyDescent="0.3">
      <c r="B125" s="1" t="s">
        <v>480</v>
      </c>
      <c r="C125" s="21"/>
      <c r="D125" s="48">
        <v>101</v>
      </c>
      <c r="E125" s="31" t="s">
        <v>305</v>
      </c>
      <c r="F125" s="55"/>
      <c r="G125" s="32" t="s">
        <v>458</v>
      </c>
      <c r="H125" s="63"/>
      <c r="I125" s="28" t="s">
        <v>183</v>
      </c>
      <c r="J125" s="62"/>
      <c r="K125" s="44"/>
      <c r="L125" s="57"/>
      <c r="M125" s="57" t="s">
        <v>507</v>
      </c>
      <c r="N125" s="26"/>
      <c r="O125" s="48">
        <v>101</v>
      </c>
      <c r="P125" s="31" t="s">
        <v>305</v>
      </c>
      <c r="Q125" s="55"/>
      <c r="R125" s="32" t="s">
        <v>202</v>
      </c>
      <c r="S125" s="63"/>
      <c r="T125" s="28" t="s">
        <v>183</v>
      </c>
      <c r="U125" s="62"/>
      <c r="V125" s="44"/>
      <c r="W125" s="55"/>
      <c r="X125" s="4"/>
    </row>
    <row r="126" spans="2:24" s="1" customFormat="1" ht="16.5" customHeight="1" x14ac:dyDescent="0.3">
      <c r="B126" s="1" t="s">
        <v>480</v>
      </c>
      <c r="C126" s="21"/>
      <c r="D126" s="48">
        <v>102</v>
      </c>
      <c r="E126" s="31" t="s">
        <v>306</v>
      </c>
      <c r="F126" s="55"/>
      <c r="G126" s="32" t="s">
        <v>457</v>
      </c>
      <c r="H126" s="63">
        <v>1</v>
      </c>
      <c r="I126" s="28" t="s">
        <v>203</v>
      </c>
      <c r="J126" s="62"/>
      <c r="K126" s="44"/>
      <c r="L126" s="57"/>
      <c r="M126" s="57" t="s">
        <v>507</v>
      </c>
      <c r="N126" s="26"/>
      <c r="O126" s="48">
        <v>102</v>
      </c>
      <c r="P126" s="31" t="s">
        <v>306</v>
      </c>
      <c r="Q126" s="55"/>
      <c r="R126" s="32" t="s">
        <v>207</v>
      </c>
      <c r="S126" s="63">
        <v>1</v>
      </c>
      <c r="T126" s="28" t="s">
        <v>203</v>
      </c>
      <c r="U126" s="62"/>
      <c r="V126" s="44"/>
      <c r="W126" s="55"/>
      <c r="X126" s="4"/>
    </row>
    <row r="127" spans="2:24" s="1" customFormat="1" ht="16.5" customHeight="1" x14ac:dyDescent="0.3">
      <c r="B127" s="1" t="s">
        <v>480</v>
      </c>
      <c r="C127" s="21"/>
      <c r="D127" s="48">
        <v>103</v>
      </c>
      <c r="E127" s="31" t="s">
        <v>307</v>
      </c>
      <c r="F127" s="55"/>
      <c r="G127" s="32" t="s">
        <v>473</v>
      </c>
      <c r="H127" s="63" t="s">
        <v>471</v>
      </c>
      <c r="I127" s="28" t="s">
        <v>183</v>
      </c>
      <c r="J127" s="62"/>
      <c r="K127" s="44"/>
      <c r="L127" s="57"/>
      <c r="M127" s="57" t="s">
        <v>507</v>
      </c>
      <c r="N127" s="26"/>
      <c r="O127" s="48">
        <v>103</v>
      </c>
      <c r="P127" s="31" t="s">
        <v>307</v>
      </c>
      <c r="Q127" s="55"/>
      <c r="R127" s="32" t="s">
        <v>201</v>
      </c>
      <c r="S127" s="63"/>
      <c r="T127" s="28" t="s">
        <v>183</v>
      </c>
      <c r="U127" s="62"/>
      <c r="V127" s="44"/>
      <c r="W127" s="55"/>
      <c r="X127" s="4"/>
    </row>
    <row r="128" spans="2:24" s="1" customFormat="1" ht="16.5" customHeight="1" x14ac:dyDescent="0.3">
      <c r="B128" s="1" t="s">
        <v>480</v>
      </c>
      <c r="C128" s="21"/>
      <c r="D128" s="48">
        <v>104</v>
      </c>
      <c r="E128" s="31" t="s">
        <v>308</v>
      </c>
      <c r="F128" s="55"/>
      <c r="G128" s="32" t="s">
        <v>458</v>
      </c>
      <c r="H128" s="63"/>
      <c r="I128" s="28" t="s">
        <v>183</v>
      </c>
      <c r="J128" s="62"/>
      <c r="K128" s="44"/>
      <c r="L128" s="57"/>
      <c r="M128" s="57" t="s">
        <v>507</v>
      </c>
      <c r="N128" s="26"/>
      <c r="O128" s="48">
        <v>104</v>
      </c>
      <c r="P128" s="31" t="s">
        <v>308</v>
      </c>
      <c r="Q128" s="55"/>
      <c r="R128" s="32" t="s">
        <v>202</v>
      </c>
      <c r="S128" s="63"/>
      <c r="T128" s="28" t="s">
        <v>183</v>
      </c>
      <c r="U128" s="62"/>
      <c r="V128" s="44"/>
      <c r="W128" s="55"/>
      <c r="X128" s="4"/>
    </row>
    <row r="129" spans="2:24" s="1" customFormat="1" ht="16.5" customHeight="1" x14ac:dyDescent="0.3">
      <c r="B129" s="1" t="s">
        <v>480</v>
      </c>
      <c r="C129" s="21"/>
      <c r="D129" s="48">
        <v>105</v>
      </c>
      <c r="E129" s="31" t="s">
        <v>309</v>
      </c>
      <c r="F129" s="55"/>
      <c r="G129" s="32" t="s">
        <v>473</v>
      </c>
      <c r="H129" s="63" t="s">
        <v>471</v>
      </c>
      <c r="I129" s="28" t="s">
        <v>183</v>
      </c>
      <c r="J129" s="62"/>
      <c r="K129" s="44"/>
      <c r="L129" s="57"/>
      <c r="M129" s="57" t="s">
        <v>507</v>
      </c>
      <c r="N129" s="26"/>
      <c r="O129" s="48">
        <v>105</v>
      </c>
      <c r="P129" s="31" t="s">
        <v>309</v>
      </c>
      <c r="Q129" s="55"/>
      <c r="R129" s="32" t="s">
        <v>201</v>
      </c>
      <c r="S129" s="63"/>
      <c r="T129" s="28" t="s">
        <v>183</v>
      </c>
      <c r="U129" s="62"/>
      <c r="V129" s="44"/>
      <c r="W129" s="55"/>
      <c r="X129" s="4"/>
    </row>
    <row r="130" spans="2:24" s="1" customFormat="1" ht="16.5" customHeight="1" x14ac:dyDescent="0.3">
      <c r="B130" s="1" t="s">
        <v>480</v>
      </c>
      <c r="C130" s="21"/>
      <c r="D130" s="48">
        <v>106</v>
      </c>
      <c r="E130" s="31" t="s">
        <v>310</v>
      </c>
      <c r="F130" s="55"/>
      <c r="G130" s="32" t="s">
        <v>473</v>
      </c>
      <c r="H130" s="63" t="s">
        <v>471</v>
      </c>
      <c r="I130" s="28" t="s">
        <v>183</v>
      </c>
      <c r="J130" s="62"/>
      <c r="K130" s="44"/>
      <c r="L130" s="57"/>
      <c r="M130" s="57" t="s">
        <v>507</v>
      </c>
      <c r="N130" s="26"/>
      <c r="O130" s="48">
        <v>106</v>
      </c>
      <c r="P130" s="31" t="s">
        <v>310</v>
      </c>
      <c r="Q130" s="55"/>
      <c r="R130" s="32" t="s">
        <v>201</v>
      </c>
      <c r="S130" s="63">
        <v>15</v>
      </c>
      <c r="T130" s="28" t="s">
        <v>183</v>
      </c>
      <c r="U130" s="62"/>
      <c r="V130" s="44"/>
      <c r="W130" s="55"/>
      <c r="X130" s="4"/>
    </row>
    <row r="131" spans="2:24" s="1" customFormat="1" ht="16.5" customHeight="1" x14ac:dyDescent="0.3">
      <c r="B131" s="1" t="s">
        <v>480</v>
      </c>
      <c r="C131" s="21"/>
      <c r="D131" s="48">
        <v>107</v>
      </c>
      <c r="E131" s="31" t="s">
        <v>311</v>
      </c>
      <c r="F131" s="55"/>
      <c r="G131" s="32" t="s">
        <v>473</v>
      </c>
      <c r="H131" s="63" t="s">
        <v>471</v>
      </c>
      <c r="I131" s="28" t="s">
        <v>183</v>
      </c>
      <c r="J131" s="62"/>
      <c r="K131" s="44"/>
      <c r="L131" s="57"/>
      <c r="M131" s="57" t="s">
        <v>507</v>
      </c>
      <c r="N131" s="26"/>
      <c r="O131" s="48">
        <v>107</v>
      </c>
      <c r="P131" s="31" t="s">
        <v>311</v>
      </c>
      <c r="Q131" s="55"/>
      <c r="R131" s="32" t="s">
        <v>201</v>
      </c>
      <c r="S131" s="63">
        <v>15</v>
      </c>
      <c r="T131" s="28" t="s">
        <v>183</v>
      </c>
      <c r="U131" s="62"/>
      <c r="V131" s="44"/>
      <c r="W131" s="55"/>
      <c r="X131" s="4"/>
    </row>
    <row r="132" spans="2:24" s="1" customFormat="1" ht="16.5" customHeight="1" x14ac:dyDescent="0.3">
      <c r="B132" s="1" t="s">
        <v>480</v>
      </c>
      <c r="C132" s="21"/>
      <c r="D132" s="48">
        <v>108</v>
      </c>
      <c r="E132" s="31" t="s">
        <v>312</v>
      </c>
      <c r="F132" s="55"/>
      <c r="G132" s="32" t="s">
        <v>473</v>
      </c>
      <c r="H132" s="63" t="s">
        <v>471</v>
      </c>
      <c r="I132" s="28" t="s">
        <v>183</v>
      </c>
      <c r="J132" s="62"/>
      <c r="K132" s="44"/>
      <c r="L132" s="57"/>
      <c r="M132" s="57" t="s">
        <v>507</v>
      </c>
      <c r="N132" s="26"/>
      <c r="O132" s="48">
        <v>108</v>
      </c>
      <c r="P132" s="31" t="s">
        <v>312</v>
      </c>
      <c r="Q132" s="55"/>
      <c r="R132" s="32" t="s">
        <v>201</v>
      </c>
      <c r="S132" s="63">
        <v>15</v>
      </c>
      <c r="T132" s="28" t="s">
        <v>183</v>
      </c>
      <c r="U132" s="62"/>
      <c r="V132" s="44"/>
      <c r="W132" s="55"/>
      <c r="X132" s="4"/>
    </row>
    <row r="133" spans="2:24" s="1" customFormat="1" ht="16.5" customHeight="1" x14ac:dyDescent="0.3">
      <c r="B133" s="1" t="s">
        <v>480</v>
      </c>
      <c r="C133" s="21"/>
      <c r="D133" s="48">
        <v>109</v>
      </c>
      <c r="E133" s="31" t="s">
        <v>313</v>
      </c>
      <c r="F133" s="55"/>
      <c r="G133" s="32" t="s">
        <v>473</v>
      </c>
      <c r="H133" s="63" t="s">
        <v>471</v>
      </c>
      <c r="I133" s="28" t="s">
        <v>183</v>
      </c>
      <c r="J133" s="62"/>
      <c r="K133" s="44"/>
      <c r="L133" s="57"/>
      <c r="M133" s="57" t="s">
        <v>507</v>
      </c>
      <c r="N133" s="26"/>
      <c r="O133" s="48">
        <v>109</v>
      </c>
      <c r="P133" s="31" t="s">
        <v>313</v>
      </c>
      <c r="Q133" s="55"/>
      <c r="R133" s="32" t="s">
        <v>201</v>
      </c>
      <c r="S133" s="63">
        <v>15</v>
      </c>
      <c r="T133" s="28" t="s">
        <v>183</v>
      </c>
      <c r="U133" s="62"/>
      <c r="V133" s="44"/>
      <c r="W133" s="55"/>
      <c r="X133" s="4"/>
    </row>
    <row r="134" spans="2:24" s="1" customFormat="1" ht="16.5" customHeight="1" x14ac:dyDescent="0.3">
      <c r="B134" s="1" t="s">
        <v>480</v>
      </c>
      <c r="C134" s="21"/>
      <c r="D134" s="48">
        <v>110</v>
      </c>
      <c r="E134" s="31" t="s">
        <v>314</v>
      </c>
      <c r="F134" s="55"/>
      <c r="G134" s="32" t="s">
        <v>473</v>
      </c>
      <c r="H134" s="63" t="s">
        <v>471</v>
      </c>
      <c r="I134" s="28" t="s">
        <v>183</v>
      </c>
      <c r="J134" s="62"/>
      <c r="K134" s="44"/>
      <c r="L134" s="57"/>
      <c r="M134" s="57" t="s">
        <v>507</v>
      </c>
      <c r="N134" s="26"/>
      <c r="O134" s="48">
        <v>110</v>
      </c>
      <c r="P134" s="31" t="s">
        <v>314</v>
      </c>
      <c r="Q134" s="55"/>
      <c r="R134" s="32" t="s">
        <v>201</v>
      </c>
      <c r="S134" s="63">
        <v>15</v>
      </c>
      <c r="T134" s="28" t="s">
        <v>183</v>
      </c>
      <c r="U134" s="62"/>
      <c r="V134" s="44"/>
      <c r="W134" s="55"/>
      <c r="X134" s="4"/>
    </row>
    <row r="135" spans="2:24" s="1" customFormat="1" ht="16.5" customHeight="1" x14ac:dyDescent="0.3">
      <c r="B135" s="1" t="s">
        <v>480</v>
      </c>
      <c r="C135" s="21"/>
      <c r="D135" s="48">
        <v>111</v>
      </c>
      <c r="E135" s="31" t="s">
        <v>206</v>
      </c>
      <c r="F135" s="55"/>
      <c r="G135" s="32" t="s">
        <v>473</v>
      </c>
      <c r="H135" s="63" t="s">
        <v>471</v>
      </c>
      <c r="I135" s="28" t="s">
        <v>183</v>
      </c>
      <c r="J135" s="62"/>
      <c r="K135" s="44"/>
      <c r="L135" s="57"/>
      <c r="M135" s="57" t="s">
        <v>507</v>
      </c>
      <c r="N135" s="26"/>
      <c r="O135" s="48">
        <v>111</v>
      </c>
      <c r="P135" s="31" t="s">
        <v>206</v>
      </c>
      <c r="Q135" s="55"/>
      <c r="R135" s="32" t="s">
        <v>201</v>
      </c>
      <c r="S135" s="63">
        <v>15</v>
      </c>
      <c r="T135" s="28" t="s">
        <v>183</v>
      </c>
      <c r="U135" s="62"/>
      <c r="V135" s="44"/>
      <c r="W135" s="55"/>
      <c r="X135" s="4"/>
    </row>
    <row r="136" spans="2:24" s="1" customFormat="1" ht="16.5" customHeight="1" x14ac:dyDescent="0.3">
      <c r="B136" s="1" t="s">
        <v>480</v>
      </c>
      <c r="C136" s="21"/>
      <c r="D136" s="48">
        <v>112</v>
      </c>
      <c r="E136" s="31" t="s">
        <v>315</v>
      </c>
      <c r="F136" s="55"/>
      <c r="G136" s="32" t="s">
        <v>473</v>
      </c>
      <c r="H136" s="63" t="s">
        <v>471</v>
      </c>
      <c r="I136" s="28" t="s">
        <v>183</v>
      </c>
      <c r="J136" s="62"/>
      <c r="K136" s="44"/>
      <c r="L136" s="57"/>
      <c r="M136" s="57" t="s">
        <v>507</v>
      </c>
      <c r="N136" s="26"/>
      <c r="O136" s="48">
        <v>112</v>
      </c>
      <c r="P136" s="31" t="s">
        <v>315</v>
      </c>
      <c r="Q136" s="55"/>
      <c r="R136" s="32" t="s">
        <v>201</v>
      </c>
      <c r="S136" s="63">
        <v>15</v>
      </c>
      <c r="T136" s="28" t="s">
        <v>183</v>
      </c>
      <c r="U136" s="62"/>
      <c r="V136" s="44"/>
      <c r="W136" s="55"/>
      <c r="X136" s="4"/>
    </row>
    <row r="137" spans="2:24" s="1" customFormat="1" ht="16.5" customHeight="1" x14ac:dyDescent="0.3">
      <c r="B137" s="1" t="s">
        <v>480</v>
      </c>
      <c r="C137" s="21"/>
      <c r="D137" s="48">
        <v>113</v>
      </c>
      <c r="E137" s="31" t="s">
        <v>316</v>
      </c>
      <c r="F137" s="55"/>
      <c r="G137" s="32" t="s">
        <v>473</v>
      </c>
      <c r="H137" s="63" t="s">
        <v>471</v>
      </c>
      <c r="I137" s="28" t="s">
        <v>183</v>
      </c>
      <c r="J137" s="62"/>
      <c r="K137" s="44"/>
      <c r="L137" s="57"/>
      <c r="M137" s="57" t="s">
        <v>507</v>
      </c>
      <c r="N137" s="26"/>
      <c r="O137" s="48">
        <v>113</v>
      </c>
      <c r="P137" s="31" t="s">
        <v>316</v>
      </c>
      <c r="Q137" s="55"/>
      <c r="R137" s="32" t="s">
        <v>201</v>
      </c>
      <c r="S137" s="63"/>
      <c r="T137" s="28" t="s">
        <v>183</v>
      </c>
      <c r="U137" s="62"/>
      <c r="V137" s="44"/>
      <c r="W137" s="55"/>
      <c r="X137" s="4"/>
    </row>
    <row r="138" spans="2:24" s="1" customFormat="1" ht="16.5" customHeight="1" x14ac:dyDescent="0.3">
      <c r="B138" s="1" t="s">
        <v>480</v>
      </c>
      <c r="C138" s="21"/>
      <c r="D138" s="48">
        <v>114</v>
      </c>
      <c r="E138" s="31" t="s">
        <v>317</v>
      </c>
      <c r="F138" s="55"/>
      <c r="G138" s="32" t="s">
        <v>458</v>
      </c>
      <c r="H138" s="63"/>
      <c r="I138" s="28" t="s">
        <v>183</v>
      </c>
      <c r="J138" s="62"/>
      <c r="K138" s="44"/>
      <c r="L138" s="57"/>
      <c r="M138" s="57" t="s">
        <v>507</v>
      </c>
      <c r="N138" s="26"/>
      <c r="O138" s="48">
        <v>114</v>
      </c>
      <c r="P138" s="31" t="s">
        <v>317</v>
      </c>
      <c r="Q138" s="55"/>
      <c r="R138" s="32" t="s">
        <v>202</v>
      </c>
      <c r="S138" s="63"/>
      <c r="T138" s="28" t="s">
        <v>183</v>
      </c>
      <c r="U138" s="62"/>
      <c r="V138" s="44"/>
      <c r="W138" s="55"/>
      <c r="X138" s="4"/>
    </row>
    <row r="139" spans="2:24" s="1" customFormat="1" ht="16.5" customHeight="1" x14ac:dyDescent="0.3">
      <c r="B139" s="1" t="s">
        <v>480</v>
      </c>
      <c r="C139" s="21"/>
      <c r="D139" s="48">
        <v>115</v>
      </c>
      <c r="E139" s="31" t="s">
        <v>318</v>
      </c>
      <c r="F139" s="55"/>
      <c r="G139" s="32" t="s">
        <v>473</v>
      </c>
      <c r="H139" s="63" t="s">
        <v>471</v>
      </c>
      <c r="I139" s="28" t="s">
        <v>183</v>
      </c>
      <c r="J139" s="62"/>
      <c r="K139" s="44"/>
      <c r="L139" s="57"/>
      <c r="M139" s="57" t="s">
        <v>507</v>
      </c>
      <c r="N139" s="26"/>
      <c r="O139" s="48">
        <v>115</v>
      </c>
      <c r="P139" s="31" t="s">
        <v>318</v>
      </c>
      <c r="Q139" s="55"/>
      <c r="R139" s="32" t="s">
        <v>201</v>
      </c>
      <c r="S139" s="63">
        <v>15</v>
      </c>
      <c r="T139" s="28" t="s">
        <v>183</v>
      </c>
      <c r="U139" s="62"/>
      <c r="V139" s="44"/>
      <c r="W139" s="55"/>
      <c r="X139" s="4"/>
    </row>
    <row r="140" spans="2:24" s="1" customFormat="1" ht="16.5" customHeight="1" x14ac:dyDescent="0.3">
      <c r="B140" s="1" t="s">
        <v>480</v>
      </c>
      <c r="C140" s="21"/>
      <c r="D140" s="48">
        <v>116</v>
      </c>
      <c r="E140" s="31" t="s">
        <v>319</v>
      </c>
      <c r="F140" s="55"/>
      <c r="G140" s="32" t="s">
        <v>473</v>
      </c>
      <c r="H140" s="63" t="s">
        <v>471</v>
      </c>
      <c r="I140" s="28" t="s">
        <v>183</v>
      </c>
      <c r="J140" s="62"/>
      <c r="K140" s="44"/>
      <c r="L140" s="57"/>
      <c r="M140" s="57" t="s">
        <v>507</v>
      </c>
      <c r="N140" s="26"/>
      <c r="O140" s="48">
        <v>116</v>
      </c>
      <c r="P140" s="31" t="s">
        <v>319</v>
      </c>
      <c r="Q140" s="55"/>
      <c r="R140" s="32" t="s">
        <v>201</v>
      </c>
      <c r="S140" s="63">
        <v>15</v>
      </c>
      <c r="T140" s="28" t="s">
        <v>183</v>
      </c>
      <c r="U140" s="62"/>
      <c r="V140" s="44"/>
      <c r="W140" s="55"/>
      <c r="X140" s="4"/>
    </row>
    <row r="141" spans="2:24" s="1" customFormat="1" ht="16.5" customHeight="1" x14ac:dyDescent="0.3">
      <c r="B141" s="1" t="s">
        <v>480</v>
      </c>
      <c r="C141" s="21"/>
      <c r="D141" s="48">
        <v>117</v>
      </c>
      <c r="E141" s="31" t="s">
        <v>320</v>
      </c>
      <c r="F141" s="55"/>
      <c r="G141" s="32" t="s">
        <v>473</v>
      </c>
      <c r="H141" s="63" t="s">
        <v>471</v>
      </c>
      <c r="I141" s="28" t="s">
        <v>183</v>
      </c>
      <c r="J141" s="62"/>
      <c r="K141" s="44"/>
      <c r="L141" s="57"/>
      <c r="M141" s="57" t="s">
        <v>507</v>
      </c>
      <c r="N141" s="26"/>
      <c r="O141" s="48">
        <v>117</v>
      </c>
      <c r="P141" s="31" t="s">
        <v>320</v>
      </c>
      <c r="Q141" s="55"/>
      <c r="R141" s="32" t="s">
        <v>201</v>
      </c>
      <c r="S141" s="63"/>
      <c r="T141" s="28" t="s">
        <v>183</v>
      </c>
      <c r="U141" s="62"/>
      <c r="V141" s="44"/>
      <c r="W141" s="55"/>
      <c r="X141" s="4"/>
    </row>
    <row r="142" spans="2:24" s="1" customFormat="1" ht="16.5" customHeight="1" x14ac:dyDescent="0.3">
      <c r="B142" s="1" t="s">
        <v>480</v>
      </c>
      <c r="C142" s="21"/>
      <c r="D142" s="48">
        <v>118</v>
      </c>
      <c r="E142" s="31" t="s">
        <v>321</v>
      </c>
      <c r="F142" s="55"/>
      <c r="G142" s="32" t="s">
        <v>473</v>
      </c>
      <c r="H142" s="63" t="s">
        <v>471</v>
      </c>
      <c r="I142" s="28" t="s">
        <v>183</v>
      </c>
      <c r="J142" s="62"/>
      <c r="K142" s="44"/>
      <c r="L142" s="57"/>
      <c r="M142" s="57" t="s">
        <v>507</v>
      </c>
      <c r="N142" s="26"/>
      <c r="O142" s="48">
        <v>118</v>
      </c>
      <c r="P142" s="31" t="s">
        <v>321</v>
      </c>
      <c r="Q142" s="55"/>
      <c r="R142" s="32" t="s">
        <v>201</v>
      </c>
      <c r="S142" s="63"/>
      <c r="T142" s="28" t="s">
        <v>183</v>
      </c>
      <c r="U142" s="62"/>
      <c r="V142" s="44"/>
      <c r="W142" s="55"/>
      <c r="X142" s="4"/>
    </row>
    <row r="143" spans="2:24" s="1" customFormat="1" ht="16.5" customHeight="1" x14ac:dyDescent="0.3">
      <c r="B143" s="1" t="s">
        <v>480</v>
      </c>
      <c r="C143" s="21"/>
      <c r="D143" s="48">
        <v>119</v>
      </c>
      <c r="E143" s="31" t="s">
        <v>322</v>
      </c>
      <c r="F143" s="55"/>
      <c r="G143" s="32" t="s">
        <v>473</v>
      </c>
      <c r="H143" s="63" t="s">
        <v>471</v>
      </c>
      <c r="I143" s="28" t="s">
        <v>183</v>
      </c>
      <c r="J143" s="62"/>
      <c r="K143" s="44"/>
      <c r="L143" s="57"/>
      <c r="M143" s="57" t="s">
        <v>507</v>
      </c>
      <c r="N143" s="26"/>
      <c r="O143" s="48">
        <v>119</v>
      </c>
      <c r="P143" s="31" t="s">
        <v>322</v>
      </c>
      <c r="Q143" s="55"/>
      <c r="R143" s="32" t="s">
        <v>201</v>
      </c>
      <c r="S143" s="63"/>
      <c r="T143" s="28" t="s">
        <v>183</v>
      </c>
      <c r="U143" s="62"/>
      <c r="V143" s="44"/>
      <c r="W143" s="55"/>
      <c r="X143" s="4"/>
    </row>
    <row r="144" spans="2:24" s="1" customFormat="1" ht="16.5" customHeight="1" x14ac:dyDescent="0.3">
      <c r="B144" s="1" t="s">
        <v>480</v>
      </c>
      <c r="C144" s="21"/>
      <c r="D144" s="48">
        <v>120</v>
      </c>
      <c r="E144" s="31" t="s">
        <v>323</v>
      </c>
      <c r="F144" s="55"/>
      <c r="G144" s="32" t="s">
        <v>473</v>
      </c>
      <c r="H144" s="63" t="s">
        <v>471</v>
      </c>
      <c r="I144" s="28" t="s">
        <v>183</v>
      </c>
      <c r="J144" s="62"/>
      <c r="K144" s="44"/>
      <c r="L144" s="57"/>
      <c r="M144" s="57" t="s">
        <v>507</v>
      </c>
      <c r="N144" s="26"/>
      <c r="O144" s="48">
        <v>120</v>
      </c>
      <c r="P144" s="31" t="s">
        <v>323</v>
      </c>
      <c r="Q144" s="55"/>
      <c r="R144" s="32" t="s">
        <v>201</v>
      </c>
      <c r="S144" s="63"/>
      <c r="T144" s="28" t="s">
        <v>183</v>
      </c>
      <c r="U144" s="62"/>
      <c r="V144" s="44"/>
      <c r="W144" s="55"/>
      <c r="X144" s="4"/>
    </row>
    <row r="145" spans="2:24" s="1" customFormat="1" ht="16.5" customHeight="1" x14ac:dyDescent="0.3">
      <c r="B145" s="1" t="s">
        <v>480</v>
      </c>
      <c r="C145" s="21"/>
      <c r="D145" s="48">
        <v>121</v>
      </c>
      <c r="E145" s="31" t="s">
        <v>324</v>
      </c>
      <c r="F145" s="55"/>
      <c r="G145" s="32" t="s">
        <v>473</v>
      </c>
      <c r="H145" s="63" t="s">
        <v>471</v>
      </c>
      <c r="I145" s="28" t="s">
        <v>183</v>
      </c>
      <c r="J145" s="62"/>
      <c r="K145" s="44"/>
      <c r="L145" s="57"/>
      <c r="M145" s="57" t="s">
        <v>507</v>
      </c>
      <c r="N145" s="26"/>
      <c r="O145" s="48">
        <v>121</v>
      </c>
      <c r="P145" s="31" t="s">
        <v>324</v>
      </c>
      <c r="Q145" s="55"/>
      <c r="R145" s="32" t="s">
        <v>201</v>
      </c>
      <c r="S145" s="63"/>
      <c r="T145" s="28" t="s">
        <v>183</v>
      </c>
      <c r="U145" s="62"/>
      <c r="V145" s="44"/>
      <c r="W145" s="55"/>
      <c r="X145" s="4"/>
    </row>
    <row r="146" spans="2:24" s="1" customFormat="1" ht="16.5" customHeight="1" x14ac:dyDescent="0.3">
      <c r="B146" s="1" t="s">
        <v>480</v>
      </c>
      <c r="C146" s="21"/>
      <c r="D146" s="48">
        <v>122</v>
      </c>
      <c r="E146" s="31" t="s">
        <v>325</v>
      </c>
      <c r="F146" s="55"/>
      <c r="G146" s="32" t="s">
        <v>457</v>
      </c>
      <c r="H146" s="63">
        <v>1</v>
      </c>
      <c r="I146" s="28" t="s">
        <v>183</v>
      </c>
      <c r="J146" s="62"/>
      <c r="K146" s="44"/>
      <c r="L146" s="57"/>
      <c r="M146" s="57" t="s">
        <v>507</v>
      </c>
      <c r="N146" s="26"/>
      <c r="O146" s="48">
        <v>122</v>
      </c>
      <c r="P146" s="31" t="s">
        <v>325</v>
      </c>
      <c r="Q146" s="55"/>
      <c r="R146" s="32" t="s">
        <v>207</v>
      </c>
      <c r="S146" s="63">
        <v>1</v>
      </c>
      <c r="T146" s="28" t="s">
        <v>183</v>
      </c>
      <c r="U146" s="62"/>
      <c r="V146" s="44"/>
      <c r="W146" s="55"/>
      <c r="X146" s="4"/>
    </row>
    <row r="147" spans="2:24" s="1" customFormat="1" ht="16.5" customHeight="1" x14ac:dyDescent="0.3">
      <c r="B147" s="1" t="s">
        <v>480</v>
      </c>
      <c r="C147" s="21"/>
      <c r="D147" s="48">
        <v>123</v>
      </c>
      <c r="E147" s="31" t="s">
        <v>326</v>
      </c>
      <c r="F147" s="55"/>
      <c r="G147" s="32" t="s">
        <v>473</v>
      </c>
      <c r="H147" s="63" t="s">
        <v>471</v>
      </c>
      <c r="I147" s="28" t="s">
        <v>183</v>
      </c>
      <c r="J147" s="62"/>
      <c r="K147" s="44"/>
      <c r="L147" s="57"/>
      <c r="M147" s="57" t="s">
        <v>507</v>
      </c>
      <c r="N147" s="26"/>
      <c r="O147" s="48">
        <v>123</v>
      </c>
      <c r="P147" s="31" t="s">
        <v>326</v>
      </c>
      <c r="Q147" s="55"/>
      <c r="R147" s="32" t="s">
        <v>201</v>
      </c>
      <c r="S147" s="63"/>
      <c r="T147" s="28" t="s">
        <v>183</v>
      </c>
      <c r="U147" s="62"/>
      <c r="V147" s="44"/>
      <c r="W147" s="55"/>
      <c r="X147" s="4"/>
    </row>
    <row r="148" spans="2:24" s="1" customFormat="1" ht="16.5" customHeight="1" x14ac:dyDescent="0.3">
      <c r="B148" s="1" t="s">
        <v>480</v>
      </c>
      <c r="C148" s="21"/>
      <c r="D148" s="48">
        <v>124</v>
      </c>
      <c r="E148" s="31" t="s">
        <v>327</v>
      </c>
      <c r="F148" s="55"/>
      <c r="G148" s="32" t="s">
        <v>473</v>
      </c>
      <c r="H148" s="63" t="s">
        <v>471</v>
      </c>
      <c r="I148" s="28" t="s">
        <v>183</v>
      </c>
      <c r="J148" s="62"/>
      <c r="K148" s="44"/>
      <c r="L148" s="57"/>
      <c r="M148" s="57" t="s">
        <v>507</v>
      </c>
      <c r="N148" s="26"/>
      <c r="O148" s="48">
        <v>124</v>
      </c>
      <c r="P148" s="31" t="s">
        <v>327</v>
      </c>
      <c r="Q148" s="55"/>
      <c r="R148" s="32" t="s">
        <v>201</v>
      </c>
      <c r="S148" s="63">
        <v>15</v>
      </c>
      <c r="T148" s="28" t="s">
        <v>183</v>
      </c>
      <c r="U148" s="62"/>
      <c r="V148" s="44"/>
      <c r="W148" s="55"/>
      <c r="X148" s="4"/>
    </row>
    <row r="149" spans="2:24" s="1" customFormat="1" ht="16.5" customHeight="1" x14ac:dyDescent="0.3">
      <c r="B149" s="1" t="s">
        <v>480</v>
      </c>
      <c r="C149" s="21"/>
      <c r="D149" s="48">
        <v>125</v>
      </c>
      <c r="E149" s="31" t="s">
        <v>328</v>
      </c>
      <c r="F149" s="55"/>
      <c r="G149" s="32" t="s">
        <v>473</v>
      </c>
      <c r="H149" s="63" t="s">
        <v>471</v>
      </c>
      <c r="I149" s="28" t="s">
        <v>183</v>
      </c>
      <c r="J149" s="62"/>
      <c r="K149" s="44"/>
      <c r="L149" s="57"/>
      <c r="M149" s="57" t="s">
        <v>507</v>
      </c>
      <c r="N149" s="26"/>
      <c r="O149" s="48">
        <v>125</v>
      </c>
      <c r="P149" s="31" t="s">
        <v>328</v>
      </c>
      <c r="Q149" s="55"/>
      <c r="R149" s="32" t="s">
        <v>201</v>
      </c>
      <c r="S149" s="63">
        <v>15</v>
      </c>
      <c r="T149" s="28" t="s">
        <v>183</v>
      </c>
      <c r="U149" s="62"/>
      <c r="V149" s="44"/>
      <c r="W149" s="55"/>
      <c r="X149" s="4"/>
    </row>
    <row r="150" spans="2:24" s="1" customFormat="1" ht="16.5" customHeight="1" x14ac:dyDescent="0.3">
      <c r="B150" s="1" t="s">
        <v>480</v>
      </c>
      <c r="C150" s="21"/>
      <c r="D150" s="48">
        <v>126</v>
      </c>
      <c r="E150" s="31" t="s">
        <v>329</v>
      </c>
      <c r="F150" s="55"/>
      <c r="G150" s="32" t="s">
        <v>457</v>
      </c>
      <c r="H150" s="63">
        <v>2</v>
      </c>
      <c r="I150" s="28" t="s">
        <v>183</v>
      </c>
      <c r="J150" s="62"/>
      <c r="K150" s="44"/>
      <c r="L150" s="57"/>
      <c r="M150" s="57" t="s">
        <v>507</v>
      </c>
      <c r="N150" s="26"/>
      <c r="O150" s="48">
        <v>126</v>
      </c>
      <c r="P150" s="31" t="s">
        <v>329</v>
      </c>
      <c r="Q150" s="55"/>
      <c r="R150" s="32" t="s">
        <v>398</v>
      </c>
      <c r="S150" s="63">
        <v>2</v>
      </c>
      <c r="T150" s="28" t="s">
        <v>183</v>
      </c>
      <c r="U150" s="62"/>
      <c r="V150" s="44"/>
      <c r="W150" s="55"/>
      <c r="X150" s="4"/>
    </row>
    <row r="151" spans="2:24" s="1" customFormat="1" ht="16.5" customHeight="1" x14ac:dyDescent="0.3">
      <c r="B151" s="1" t="s">
        <v>480</v>
      </c>
      <c r="C151" s="21"/>
      <c r="D151" s="48">
        <v>127</v>
      </c>
      <c r="E151" s="31" t="s">
        <v>330</v>
      </c>
      <c r="F151" s="55"/>
      <c r="G151" s="32" t="s">
        <v>473</v>
      </c>
      <c r="H151" s="63" t="s">
        <v>471</v>
      </c>
      <c r="I151" s="28" t="s">
        <v>183</v>
      </c>
      <c r="J151" s="62"/>
      <c r="K151" s="44"/>
      <c r="L151" s="57"/>
      <c r="M151" s="57" t="s">
        <v>507</v>
      </c>
      <c r="N151" s="26"/>
      <c r="O151" s="48">
        <v>127</v>
      </c>
      <c r="P151" s="31" t="s">
        <v>330</v>
      </c>
      <c r="Q151" s="55"/>
      <c r="R151" s="32" t="s">
        <v>201</v>
      </c>
      <c r="S151" s="63"/>
      <c r="T151" s="28" t="s">
        <v>183</v>
      </c>
      <c r="U151" s="62"/>
      <c r="V151" s="44"/>
      <c r="W151" s="55"/>
      <c r="X151" s="4"/>
    </row>
    <row r="152" spans="2:24" s="1" customFormat="1" ht="16.5" customHeight="1" x14ac:dyDescent="0.3">
      <c r="B152" s="1" t="s">
        <v>480</v>
      </c>
      <c r="C152" s="21"/>
      <c r="D152" s="48">
        <v>128</v>
      </c>
      <c r="E152" s="31" t="s">
        <v>331</v>
      </c>
      <c r="F152" s="55"/>
      <c r="G152" s="32" t="s">
        <v>473</v>
      </c>
      <c r="H152" s="63" t="s">
        <v>471</v>
      </c>
      <c r="I152" s="28" t="s">
        <v>183</v>
      </c>
      <c r="J152" s="62"/>
      <c r="K152" s="44"/>
      <c r="L152" s="57"/>
      <c r="M152" s="57" t="s">
        <v>507</v>
      </c>
      <c r="N152" s="26"/>
      <c r="O152" s="48">
        <v>128</v>
      </c>
      <c r="P152" s="31" t="s">
        <v>331</v>
      </c>
      <c r="Q152" s="55"/>
      <c r="R152" s="32" t="s">
        <v>201</v>
      </c>
      <c r="S152" s="63">
        <v>15</v>
      </c>
      <c r="T152" s="28" t="s">
        <v>183</v>
      </c>
      <c r="U152" s="62"/>
      <c r="V152" s="44"/>
      <c r="W152" s="55"/>
      <c r="X152" s="4"/>
    </row>
    <row r="153" spans="2:24" s="1" customFormat="1" ht="16.5" customHeight="1" x14ac:dyDescent="0.3">
      <c r="B153" s="1" t="s">
        <v>480</v>
      </c>
      <c r="C153" s="21"/>
      <c r="D153" s="48">
        <v>129</v>
      </c>
      <c r="E153" s="31" t="s">
        <v>332</v>
      </c>
      <c r="F153" s="55"/>
      <c r="G153" s="32" t="s">
        <v>457</v>
      </c>
      <c r="H153" s="63">
        <v>30</v>
      </c>
      <c r="I153" s="28" t="s">
        <v>183</v>
      </c>
      <c r="J153" s="62"/>
      <c r="K153" s="44"/>
      <c r="L153" s="57"/>
      <c r="M153" s="57" t="s">
        <v>507</v>
      </c>
      <c r="N153" s="26"/>
      <c r="O153" s="48">
        <v>129</v>
      </c>
      <c r="P153" s="31" t="s">
        <v>332</v>
      </c>
      <c r="Q153" s="55"/>
      <c r="R153" s="32" t="s">
        <v>207</v>
      </c>
      <c r="S153" s="63">
        <v>30</v>
      </c>
      <c r="T153" s="28" t="s">
        <v>183</v>
      </c>
      <c r="U153" s="62"/>
      <c r="V153" s="44"/>
      <c r="W153" s="55"/>
      <c r="X153" s="4"/>
    </row>
    <row r="154" spans="2:24" s="1" customFormat="1" ht="16.5" customHeight="1" x14ac:dyDescent="0.3">
      <c r="B154" s="1" t="s">
        <v>480</v>
      </c>
      <c r="C154" s="21"/>
      <c r="D154" s="48">
        <v>130</v>
      </c>
      <c r="E154" s="31" t="s">
        <v>333</v>
      </c>
      <c r="F154" s="55"/>
      <c r="G154" s="32" t="s">
        <v>457</v>
      </c>
      <c r="H154" s="63">
        <v>15</v>
      </c>
      <c r="I154" s="28" t="s">
        <v>183</v>
      </c>
      <c r="J154" s="62"/>
      <c r="K154" s="44"/>
      <c r="L154" s="57"/>
      <c r="M154" s="57" t="s">
        <v>507</v>
      </c>
      <c r="N154" s="26"/>
      <c r="O154" s="48">
        <v>130</v>
      </c>
      <c r="P154" s="31" t="s">
        <v>333</v>
      </c>
      <c r="Q154" s="55"/>
      <c r="R154" s="32" t="s">
        <v>207</v>
      </c>
      <c r="S154" s="63">
        <v>15</v>
      </c>
      <c r="T154" s="28" t="s">
        <v>183</v>
      </c>
      <c r="U154" s="62"/>
      <c r="V154" s="44"/>
      <c r="W154" s="55"/>
      <c r="X154" s="4"/>
    </row>
    <row r="155" spans="2:24" s="1" customFormat="1" ht="16.5" customHeight="1" x14ac:dyDescent="0.3">
      <c r="B155" s="1" t="s">
        <v>480</v>
      </c>
      <c r="C155" s="21"/>
      <c r="D155" s="48">
        <v>131</v>
      </c>
      <c r="E155" s="31" t="s">
        <v>334</v>
      </c>
      <c r="F155" s="55"/>
      <c r="G155" s="32" t="s">
        <v>457</v>
      </c>
      <c r="H155" s="63">
        <v>30</v>
      </c>
      <c r="I155" s="28" t="s">
        <v>183</v>
      </c>
      <c r="J155" s="62"/>
      <c r="K155" s="44"/>
      <c r="L155" s="57"/>
      <c r="M155" s="57" t="s">
        <v>507</v>
      </c>
      <c r="N155" s="26"/>
      <c r="O155" s="48">
        <v>131</v>
      </c>
      <c r="P155" s="31" t="s">
        <v>334</v>
      </c>
      <c r="Q155" s="55"/>
      <c r="R155" s="32" t="s">
        <v>207</v>
      </c>
      <c r="S155" s="63">
        <v>30</v>
      </c>
      <c r="T155" s="28" t="s">
        <v>183</v>
      </c>
      <c r="U155" s="62"/>
      <c r="V155" s="44"/>
      <c r="W155" s="55"/>
      <c r="X155" s="4"/>
    </row>
    <row r="156" spans="2:24" s="1" customFormat="1" ht="16.5" customHeight="1" x14ac:dyDescent="0.3">
      <c r="B156" s="1" t="s">
        <v>480</v>
      </c>
      <c r="C156" s="21"/>
      <c r="D156" s="48">
        <v>132</v>
      </c>
      <c r="E156" s="31" t="s">
        <v>335</v>
      </c>
      <c r="F156" s="55"/>
      <c r="G156" s="32" t="s">
        <v>457</v>
      </c>
      <c r="H156" s="63">
        <v>30</v>
      </c>
      <c r="I156" s="28" t="s">
        <v>183</v>
      </c>
      <c r="J156" s="62"/>
      <c r="K156" s="44"/>
      <c r="L156" s="57"/>
      <c r="M156" s="57" t="s">
        <v>507</v>
      </c>
      <c r="N156" s="26"/>
      <c r="O156" s="48">
        <v>132</v>
      </c>
      <c r="P156" s="31" t="s">
        <v>335</v>
      </c>
      <c r="Q156" s="55"/>
      <c r="R156" s="32" t="s">
        <v>207</v>
      </c>
      <c r="S156" s="63">
        <v>30</v>
      </c>
      <c r="T156" s="28" t="s">
        <v>183</v>
      </c>
      <c r="U156" s="62"/>
      <c r="V156" s="44"/>
      <c r="W156" s="55"/>
      <c r="X156" s="4"/>
    </row>
    <row r="157" spans="2:24" s="1" customFormat="1" ht="16.5" customHeight="1" x14ac:dyDescent="0.3">
      <c r="B157" s="1" t="s">
        <v>480</v>
      </c>
      <c r="C157" s="21"/>
      <c r="D157" s="48">
        <v>133</v>
      </c>
      <c r="E157" s="31" t="s">
        <v>336</v>
      </c>
      <c r="F157" s="55"/>
      <c r="G157" s="32" t="s">
        <v>458</v>
      </c>
      <c r="H157" s="63"/>
      <c r="I157" s="28" t="s">
        <v>183</v>
      </c>
      <c r="J157" s="62"/>
      <c r="K157" s="44"/>
      <c r="L157" s="57"/>
      <c r="M157" s="57" t="s">
        <v>507</v>
      </c>
      <c r="N157" s="26"/>
      <c r="O157" s="48">
        <v>133</v>
      </c>
      <c r="P157" s="31" t="s">
        <v>336</v>
      </c>
      <c r="Q157" s="55"/>
      <c r="R157" s="32" t="s">
        <v>202</v>
      </c>
      <c r="S157" s="63"/>
      <c r="T157" s="28" t="s">
        <v>183</v>
      </c>
      <c r="U157" s="62"/>
      <c r="V157" s="44"/>
      <c r="W157" s="55"/>
      <c r="X157" s="4"/>
    </row>
    <row r="158" spans="2:24" s="1" customFormat="1" ht="16.5" customHeight="1" x14ac:dyDescent="0.3">
      <c r="B158" s="1" t="s">
        <v>480</v>
      </c>
      <c r="C158" s="21"/>
      <c r="D158" s="48">
        <v>134</v>
      </c>
      <c r="E158" s="31" t="s">
        <v>337</v>
      </c>
      <c r="F158" s="55"/>
      <c r="G158" s="32" t="s">
        <v>473</v>
      </c>
      <c r="H158" s="63" t="s">
        <v>471</v>
      </c>
      <c r="I158" s="28" t="s">
        <v>183</v>
      </c>
      <c r="J158" s="62"/>
      <c r="K158" s="44"/>
      <c r="L158" s="57"/>
      <c r="M158" s="57" t="s">
        <v>507</v>
      </c>
      <c r="N158" s="26"/>
      <c r="O158" s="48">
        <v>134</v>
      </c>
      <c r="P158" s="31" t="s">
        <v>337</v>
      </c>
      <c r="Q158" s="55"/>
      <c r="R158" s="32" t="s">
        <v>201</v>
      </c>
      <c r="S158" s="63"/>
      <c r="T158" s="28" t="s">
        <v>183</v>
      </c>
      <c r="U158" s="62"/>
      <c r="V158" s="44"/>
      <c r="W158" s="55"/>
      <c r="X158" s="4"/>
    </row>
    <row r="159" spans="2:24" s="1" customFormat="1" ht="16.5" customHeight="1" x14ac:dyDescent="0.3">
      <c r="B159" s="1" t="s">
        <v>480</v>
      </c>
      <c r="C159" s="21"/>
      <c r="D159" s="48">
        <v>135</v>
      </c>
      <c r="E159" s="31" t="s">
        <v>338</v>
      </c>
      <c r="F159" s="55"/>
      <c r="G159" s="32" t="s">
        <v>457</v>
      </c>
      <c r="H159" s="63">
        <v>15</v>
      </c>
      <c r="I159" s="28" t="s">
        <v>183</v>
      </c>
      <c r="J159" s="62"/>
      <c r="K159" s="44"/>
      <c r="L159" s="57"/>
      <c r="M159" s="57" t="s">
        <v>507</v>
      </c>
      <c r="N159" s="26"/>
      <c r="O159" s="48">
        <v>135</v>
      </c>
      <c r="P159" s="31" t="s">
        <v>338</v>
      </c>
      <c r="Q159" s="55"/>
      <c r="R159" s="32" t="s">
        <v>207</v>
      </c>
      <c r="S159" s="63">
        <v>15</v>
      </c>
      <c r="T159" s="28" t="s">
        <v>183</v>
      </c>
      <c r="U159" s="62"/>
      <c r="V159" s="44"/>
      <c r="W159" s="55"/>
      <c r="X159" s="4"/>
    </row>
    <row r="160" spans="2:24" s="1" customFormat="1" ht="16.5" customHeight="1" x14ac:dyDescent="0.3">
      <c r="B160" s="1" t="s">
        <v>480</v>
      </c>
      <c r="C160" s="21"/>
      <c r="D160" s="48">
        <v>136</v>
      </c>
      <c r="E160" s="31" t="s">
        <v>339</v>
      </c>
      <c r="F160" s="55"/>
      <c r="G160" s="32" t="s">
        <v>457</v>
      </c>
      <c r="H160" s="63">
        <v>30</v>
      </c>
      <c r="I160" s="28" t="s">
        <v>183</v>
      </c>
      <c r="J160" s="62"/>
      <c r="K160" s="44"/>
      <c r="L160" s="57"/>
      <c r="M160" s="57" t="s">
        <v>507</v>
      </c>
      <c r="N160" s="26"/>
      <c r="O160" s="48">
        <v>136</v>
      </c>
      <c r="P160" s="31" t="s">
        <v>339</v>
      </c>
      <c r="Q160" s="55"/>
      <c r="R160" s="32" t="s">
        <v>207</v>
      </c>
      <c r="S160" s="63">
        <v>30</v>
      </c>
      <c r="T160" s="28" t="s">
        <v>183</v>
      </c>
      <c r="U160" s="62"/>
      <c r="V160" s="44"/>
      <c r="W160" s="55"/>
      <c r="X160" s="4"/>
    </row>
    <row r="161" spans="2:24" s="1" customFormat="1" ht="16.5" customHeight="1" x14ac:dyDescent="0.3">
      <c r="B161" s="1" t="s">
        <v>480</v>
      </c>
      <c r="C161" s="21"/>
      <c r="D161" s="48">
        <v>137</v>
      </c>
      <c r="E161" s="31" t="s">
        <v>340</v>
      </c>
      <c r="F161" s="55"/>
      <c r="G161" s="32" t="s">
        <v>457</v>
      </c>
      <c r="H161" s="63">
        <v>30</v>
      </c>
      <c r="I161" s="28" t="s">
        <v>183</v>
      </c>
      <c r="J161" s="62"/>
      <c r="K161" s="44"/>
      <c r="L161" s="57"/>
      <c r="M161" s="57" t="s">
        <v>507</v>
      </c>
      <c r="N161" s="26"/>
      <c r="O161" s="48">
        <v>137</v>
      </c>
      <c r="P161" s="31" t="s">
        <v>340</v>
      </c>
      <c r="Q161" s="55"/>
      <c r="R161" s="32" t="s">
        <v>207</v>
      </c>
      <c r="S161" s="63">
        <v>30</v>
      </c>
      <c r="T161" s="28" t="s">
        <v>183</v>
      </c>
      <c r="U161" s="62"/>
      <c r="V161" s="44"/>
      <c r="W161" s="55"/>
      <c r="X161" s="4"/>
    </row>
    <row r="162" spans="2:24" s="1" customFormat="1" ht="16.5" customHeight="1" x14ac:dyDescent="0.3">
      <c r="B162" s="1" t="s">
        <v>480</v>
      </c>
      <c r="C162" s="21"/>
      <c r="D162" s="48">
        <v>138</v>
      </c>
      <c r="E162" s="31" t="s">
        <v>341</v>
      </c>
      <c r="F162" s="55"/>
      <c r="G162" s="32" t="s">
        <v>458</v>
      </c>
      <c r="H162" s="63"/>
      <c r="I162" s="28" t="s">
        <v>183</v>
      </c>
      <c r="J162" s="62"/>
      <c r="K162" s="44"/>
      <c r="L162" s="57"/>
      <c r="M162" s="57" t="s">
        <v>507</v>
      </c>
      <c r="N162" s="26"/>
      <c r="O162" s="48">
        <v>138</v>
      </c>
      <c r="P162" s="31" t="s">
        <v>341</v>
      </c>
      <c r="Q162" s="55"/>
      <c r="R162" s="32" t="s">
        <v>202</v>
      </c>
      <c r="S162" s="63"/>
      <c r="T162" s="28" t="s">
        <v>183</v>
      </c>
      <c r="U162" s="62"/>
      <c r="V162" s="44"/>
      <c r="W162" s="55"/>
      <c r="X162" s="4"/>
    </row>
    <row r="163" spans="2:24" s="1" customFormat="1" ht="16.5" customHeight="1" x14ac:dyDescent="0.3">
      <c r="B163" s="1" t="s">
        <v>480</v>
      </c>
      <c r="C163" s="21"/>
      <c r="D163" s="48">
        <v>139</v>
      </c>
      <c r="E163" s="31" t="s">
        <v>342</v>
      </c>
      <c r="F163" s="55"/>
      <c r="G163" s="32" t="s">
        <v>473</v>
      </c>
      <c r="H163" s="63" t="s">
        <v>471</v>
      </c>
      <c r="I163" s="28" t="s">
        <v>183</v>
      </c>
      <c r="J163" s="62"/>
      <c r="K163" s="44"/>
      <c r="L163" s="57"/>
      <c r="M163" s="57" t="s">
        <v>507</v>
      </c>
      <c r="N163" s="26"/>
      <c r="O163" s="48">
        <v>139</v>
      </c>
      <c r="P163" s="31" t="s">
        <v>342</v>
      </c>
      <c r="Q163" s="55"/>
      <c r="R163" s="32" t="s">
        <v>201</v>
      </c>
      <c r="S163" s="63"/>
      <c r="T163" s="28" t="s">
        <v>183</v>
      </c>
      <c r="U163" s="62"/>
      <c r="V163" s="44"/>
      <c r="W163" s="55"/>
      <c r="X163" s="4"/>
    </row>
    <row r="164" spans="2:24" s="1" customFormat="1" ht="16.5" customHeight="1" x14ac:dyDescent="0.3">
      <c r="B164" s="1" t="s">
        <v>480</v>
      </c>
      <c r="C164" s="21"/>
      <c r="D164" s="48">
        <v>140</v>
      </c>
      <c r="E164" s="31" t="s">
        <v>343</v>
      </c>
      <c r="F164" s="55"/>
      <c r="G164" s="32" t="s">
        <v>457</v>
      </c>
      <c r="H164" s="63">
        <v>30</v>
      </c>
      <c r="I164" s="28" t="s">
        <v>183</v>
      </c>
      <c r="J164" s="62"/>
      <c r="K164" s="44"/>
      <c r="L164" s="57"/>
      <c r="M164" s="57" t="s">
        <v>507</v>
      </c>
      <c r="N164" s="26"/>
      <c r="O164" s="48">
        <v>140</v>
      </c>
      <c r="P164" s="31" t="s">
        <v>343</v>
      </c>
      <c r="Q164" s="55"/>
      <c r="R164" s="32" t="s">
        <v>207</v>
      </c>
      <c r="S164" s="63">
        <v>30</v>
      </c>
      <c r="T164" s="28" t="s">
        <v>183</v>
      </c>
      <c r="U164" s="62"/>
      <c r="V164" s="44"/>
      <c r="W164" s="55"/>
      <c r="X164" s="4"/>
    </row>
    <row r="165" spans="2:24" s="1" customFormat="1" ht="16.5" customHeight="1" x14ac:dyDescent="0.3">
      <c r="B165" s="1" t="s">
        <v>480</v>
      </c>
      <c r="C165" s="21"/>
      <c r="D165" s="48">
        <v>141</v>
      </c>
      <c r="E165" s="31" t="s">
        <v>344</v>
      </c>
      <c r="F165" s="55"/>
      <c r="G165" s="32" t="s">
        <v>457</v>
      </c>
      <c r="H165" s="63">
        <v>30</v>
      </c>
      <c r="I165" s="28" t="s">
        <v>183</v>
      </c>
      <c r="J165" s="62"/>
      <c r="K165" s="44"/>
      <c r="L165" s="57"/>
      <c r="M165" s="57" t="s">
        <v>507</v>
      </c>
      <c r="N165" s="26"/>
      <c r="O165" s="48">
        <v>141</v>
      </c>
      <c r="P165" s="31" t="s">
        <v>344</v>
      </c>
      <c r="Q165" s="55"/>
      <c r="R165" s="32" t="s">
        <v>207</v>
      </c>
      <c r="S165" s="63">
        <v>30</v>
      </c>
      <c r="T165" s="28" t="s">
        <v>183</v>
      </c>
      <c r="U165" s="62"/>
      <c r="V165" s="44"/>
      <c r="W165" s="55"/>
      <c r="X165" s="4"/>
    </row>
    <row r="166" spans="2:24" s="1" customFormat="1" ht="16.5" customHeight="1" x14ac:dyDescent="0.3">
      <c r="B166" s="1" t="s">
        <v>480</v>
      </c>
      <c r="C166" s="21"/>
      <c r="D166" s="48">
        <v>142</v>
      </c>
      <c r="E166" s="31" t="s">
        <v>345</v>
      </c>
      <c r="F166" s="55"/>
      <c r="G166" s="32" t="s">
        <v>458</v>
      </c>
      <c r="H166" s="63"/>
      <c r="I166" s="28" t="s">
        <v>183</v>
      </c>
      <c r="J166" s="62"/>
      <c r="K166" s="44"/>
      <c r="L166" s="57"/>
      <c r="M166" s="57" t="s">
        <v>507</v>
      </c>
      <c r="N166" s="26"/>
      <c r="O166" s="48">
        <v>142</v>
      </c>
      <c r="P166" s="31" t="s">
        <v>345</v>
      </c>
      <c r="Q166" s="55"/>
      <c r="R166" s="32" t="s">
        <v>202</v>
      </c>
      <c r="S166" s="63"/>
      <c r="T166" s="28" t="s">
        <v>183</v>
      </c>
      <c r="U166" s="62"/>
      <c r="V166" s="44"/>
      <c r="W166" s="55"/>
      <c r="X166" s="4"/>
    </row>
    <row r="167" spans="2:24" s="1" customFormat="1" ht="16.5" customHeight="1" x14ac:dyDescent="0.3">
      <c r="B167" s="1" t="s">
        <v>480</v>
      </c>
      <c r="C167" s="21"/>
      <c r="D167" s="48">
        <v>143</v>
      </c>
      <c r="E167" s="31" t="s">
        <v>346</v>
      </c>
      <c r="F167" s="55"/>
      <c r="G167" s="32" t="s">
        <v>473</v>
      </c>
      <c r="H167" s="63" t="s">
        <v>471</v>
      </c>
      <c r="I167" s="28" t="s">
        <v>183</v>
      </c>
      <c r="J167" s="62"/>
      <c r="K167" s="44"/>
      <c r="L167" s="57"/>
      <c r="M167" s="57" t="s">
        <v>507</v>
      </c>
      <c r="N167" s="26"/>
      <c r="O167" s="48">
        <v>143</v>
      </c>
      <c r="P167" s="31" t="s">
        <v>346</v>
      </c>
      <c r="Q167" s="55"/>
      <c r="R167" s="32" t="s">
        <v>201</v>
      </c>
      <c r="S167" s="63"/>
      <c r="T167" s="28" t="s">
        <v>183</v>
      </c>
      <c r="U167" s="62"/>
      <c r="V167" s="44"/>
      <c r="W167" s="55"/>
      <c r="X167" s="4"/>
    </row>
    <row r="168" spans="2:24" s="1" customFormat="1" ht="16.5" customHeight="1" x14ac:dyDescent="0.3">
      <c r="B168" s="1" t="s">
        <v>480</v>
      </c>
      <c r="C168" s="21"/>
      <c r="D168" s="48">
        <v>144</v>
      </c>
      <c r="E168" s="31" t="s">
        <v>347</v>
      </c>
      <c r="F168" s="55"/>
      <c r="G168" s="32" t="s">
        <v>457</v>
      </c>
      <c r="H168" s="63">
        <v>1</v>
      </c>
      <c r="I168" s="28" t="s">
        <v>183</v>
      </c>
      <c r="J168" s="62"/>
      <c r="K168" s="44"/>
      <c r="L168" s="57"/>
      <c r="M168" s="57" t="s">
        <v>507</v>
      </c>
      <c r="N168" s="26"/>
      <c r="O168" s="48">
        <v>144</v>
      </c>
      <c r="P168" s="31" t="s">
        <v>347</v>
      </c>
      <c r="Q168" s="55"/>
      <c r="R168" s="32" t="s">
        <v>207</v>
      </c>
      <c r="S168" s="63">
        <v>1</v>
      </c>
      <c r="T168" s="28" t="s">
        <v>183</v>
      </c>
      <c r="U168" s="62"/>
      <c r="V168" s="44"/>
      <c r="W168" s="55"/>
      <c r="X168" s="4"/>
    </row>
    <row r="169" spans="2:24" s="1" customFormat="1" ht="16.5" customHeight="1" x14ac:dyDescent="0.3">
      <c r="B169" s="1" t="s">
        <v>480</v>
      </c>
      <c r="C169" s="21"/>
      <c r="D169" s="48">
        <v>145</v>
      </c>
      <c r="E169" s="31" t="s">
        <v>348</v>
      </c>
      <c r="F169" s="55"/>
      <c r="G169" s="32" t="s">
        <v>457</v>
      </c>
      <c r="H169" s="63">
        <v>30</v>
      </c>
      <c r="I169" s="28" t="s">
        <v>183</v>
      </c>
      <c r="J169" s="62"/>
      <c r="K169" s="44"/>
      <c r="L169" s="57"/>
      <c r="M169" s="57" t="s">
        <v>507</v>
      </c>
      <c r="N169" s="26"/>
      <c r="O169" s="48">
        <v>145</v>
      </c>
      <c r="P169" s="31" t="s">
        <v>348</v>
      </c>
      <c r="Q169" s="55"/>
      <c r="R169" s="32" t="s">
        <v>207</v>
      </c>
      <c r="S169" s="63">
        <v>30</v>
      </c>
      <c r="T169" s="28" t="s">
        <v>183</v>
      </c>
      <c r="U169" s="62"/>
      <c r="V169" s="44"/>
      <c r="W169" s="55"/>
      <c r="X169" s="4"/>
    </row>
    <row r="170" spans="2:24" s="1" customFormat="1" ht="16.5" customHeight="1" x14ac:dyDescent="0.3">
      <c r="B170" s="1" t="s">
        <v>480</v>
      </c>
      <c r="C170" s="21"/>
      <c r="D170" s="48">
        <v>146</v>
      </c>
      <c r="E170" s="31" t="s">
        <v>349</v>
      </c>
      <c r="F170" s="55"/>
      <c r="G170" s="32" t="s">
        <v>458</v>
      </c>
      <c r="H170" s="63"/>
      <c r="I170" s="28" t="s">
        <v>183</v>
      </c>
      <c r="J170" s="62"/>
      <c r="K170" s="44"/>
      <c r="L170" s="57"/>
      <c r="M170" s="57" t="s">
        <v>507</v>
      </c>
      <c r="N170" s="26"/>
      <c r="O170" s="48">
        <v>146</v>
      </c>
      <c r="P170" s="31" t="s">
        <v>349</v>
      </c>
      <c r="Q170" s="55"/>
      <c r="R170" s="32" t="s">
        <v>202</v>
      </c>
      <c r="S170" s="63"/>
      <c r="T170" s="28" t="s">
        <v>183</v>
      </c>
      <c r="U170" s="62"/>
      <c r="V170" s="44"/>
      <c r="W170" s="55"/>
      <c r="X170" s="4"/>
    </row>
    <row r="171" spans="2:24" s="1" customFormat="1" ht="16.5" customHeight="1" x14ac:dyDescent="0.3">
      <c r="B171" s="1" t="s">
        <v>480</v>
      </c>
      <c r="C171" s="21"/>
      <c r="D171" s="48">
        <v>147</v>
      </c>
      <c r="E171" s="31" t="s">
        <v>350</v>
      </c>
      <c r="F171" s="55"/>
      <c r="G171" s="32" t="s">
        <v>457</v>
      </c>
      <c r="H171" s="63">
        <v>1</v>
      </c>
      <c r="I171" s="28" t="s">
        <v>183</v>
      </c>
      <c r="J171" s="62"/>
      <c r="K171" s="44"/>
      <c r="L171" s="57"/>
      <c r="M171" s="57" t="s">
        <v>507</v>
      </c>
      <c r="N171" s="26"/>
      <c r="O171" s="48">
        <v>147</v>
      </c>
      <c r="P171" s="31" t="s">
        <v>350</v>
      </c>
      <c r="Q171" s="55"/>
      <c r="R171" s="32" t="s">
        <v>207</v>
      </c>
      <c r="S171" s="63">
        <v>1</v>
      </c>
      <c r="T171" s="28" t="s">
        <v>183</v>
      </c>
      <c r="U171" s="62"/>
      <c r="V171" s="44"/>
      <c r="W171" s="55"/>
      <c r="X171" s="4"/>
    </row>
    <row r="172" spans="2:24" s="1" customFormat="1" ht="16.5" customHeight="1" x14ac:dyDescent="0.3">
      <c r="B172" s="1" t="s">
        <v>480</v>
      </c>
      <c r="C172" s="21"/>
      <c r="D172" s="48">
        <v>148</v>
      </c>
      <c r="E172" s="31" t="s">
        <v>351</v>
      </c>
      <c r="F172" s="55"/>
      <c r="G172" s="32" t="s">
        <v>457</v>
      </c>
      <c r="H172" s="63">
        <v>1</v>
      </c>
      <c r="I172" s="28" t="s">
        <v>183</v>
      </c>
      <c r="J172" s="62"/>
      <c r="K172" s="44"/>
      <c r="L172" s="57"/>
      <c r="M172" s="57" t="s">
        <v>507</v>
      </c>
      <c r="N172" s="26"/>
      <c r="O172" s="48">
        <v>148</v>
      </c>
      <c r="P172" s="31" t="s">
        <v>351</v>
      </c>
      <c r="Q172" s="55"/>
      <c r="R172" s="32" t="s">
        <v>207</v>
      </c>
      <c r="S172" s="63">
        <v>1</v>
      </c>
      <c r="T172" s="28" t="s">
        <v>183</v>
      </c>
      <c r="U172" s="62"/>
      <c r="V172" s="44"/>
      <c r="W172" s="55"/>
      <c r="X172" s="4"/>
    </row>
    <row r="173" spans="2:24" s="1" customFormat="1" ht="16.5" customHeight="1" x14ac:dyDescent="0.3">
      <c r="B173" s="1" t="s">
        <v>480</v>
      </c>
      <c r="C173" s="21"/>
      <c r="D173" s="48">
        <v>149</v>
      </c>
      <c r="E173" s="31" t="s">
        <v>352</v>
      </c>
      <c r="F173" s="55"/>
      <c r="G173" s="32" t="s">
        <v>457</v>
      </c>
      <c r="H173" s="63">
        <v>1</v>
      </c>
      <c r="I173" s="28" t="s">
        <v>183</v>
      </c>
      <c r="J173" s="62"/>
      <c r="K173" s="44"/>
      <c r="L173" s="57"/>
      <c r="M173" s="57" t="s">
        <v>507</v>
      </c>
      <c r="N173" s="26"/>
      <c r="O173" s="48">
        <v>149</v>
      </c>
      <c r="P173" s="31" t="s">
        <v>352</v>
      </c>
      <c r="Q173" s="55"/>
      <c r="R173" s="32" t="s">
        <v>207</v>
      </c>
      <c r="S173" s="63">
        <v>1</v>
      </c>
      <c r="T173" s="28" t="s">
        <v>183</v>
      </c>
      <c r="U173" s="62"/>
      <c r="V173" s="44"/>
      <c r="W173" s="55"/>
      <c r="X173" s="4"/>
    </row>
    <row r="174" spans="2:24" s="1" customFormat="1" ht="16.5" customHeight="1" x14ac:dyDescent="0.3">
      <c r="B174" s="1" t="s">
        <v>480</v>
      </c>
      <c r="C174" s="21"/>
      <c r="D174" s="48">
        <v>150</v>
      </c>
      <c r="E174" s="31" t="s">
        <v>353</v>
      </c>
      <c r="F174" s="55"/>
      <c r="G174" s="32" t="s">
        <v>457</v>
      </c>
      <c r="H174" s="63">
        <v>1</v>
      </c>
      <c r="I174" s="28" t="s">
        <v>183</v>
      </c>
      <c r="J174" s="62"/>
      <c r="K174" s="44"/>
      <c r="L174" s="57"/>
      <c r="M174" s="57" t="s">
        <v>507</v>
      </c>
      <c r="N174" s="26"/>
      <c r="O174" s="48">
        <v>150</v>
      </c>
      <c r="P174" s="31" t="s">
        <v>353</v>
      </c>
      <c r="Q174" s="55"/>
      <c r="R174" s="32" t="s">
        <v>207</v>
      </c>
      <c r="S174" s="63">
        <v>1</v>
      </c>
      <c r="T174" s="28" t="s">
        <v>183</v>
      </c>
      <c r="U174" s="62"/>
      <c r="V174" s="44"/>
      <c r="W174" s="55"/>
      <c r="X174" s="4"/>
    </row>
    <row r="175" spans="2:24" s="1" customFormat="1" ht="16.5" customHeight="1" x14ac:dyDescent="0.3">
      <c r="B175" s="1" t="s">
        <v>480</v>
      </c>
      <c r="C175" s="21"/>
      <c r="D175" s="48">
        <v>151</v>
      </c>
      <c r="E175" s="31" t="s">
        <v>354</v>
      </c>
      <c r="F175" s="55"/>
      <c r="G175" s="32" t="s">
        <v>457</v>
      </c>
      <c r="H175" s="63">
        <v>1</v>
      </c>
      <c r="I175" s="28" t="s">
        <v>183</v>
      </c>
      <c r="J175" s="62"/>
      <c r="K175" s="44"/>
      <c r="L175" s="57"/>
      <c r="M175" s="57" t="s">
        <v>507</v>
      </c>
      <c r="N175" s="26"/>
      <c r="O175" s="48">
        <v>151</v>
      </c>
      <c r="P175" s="31" t="s">
        <v>354</v>
      </c>
      <c r="Q175" s="55"/>
      <c r="R175" s="32" t="s">
        <v>207</v>
      </c>
      <c r="S175" s="63">
        <v>1</v>
      </c>
      <c r="T175" s="28" t="s">
        <v>183</v>
      </c>
      <c r="U175" s="62"/>
      <c r="V175" s="44"/>
      <c r="W175" s="55"/>
      <c r="X175" s="4"/>
    </row>
    <row r="176" spans="2:24" s="1" customFormat="1" ht="16.5" customHeight="1" x14ac:dyDescent="0.3">
      <c r="B176" s="1" t="s">
        <v>480</v>
      </c>
      <c r="C176" s="21"/>
      <c r="D176" s="48">
        <v>152</v>
      </c>
      <c r="E176" s="31" t="s">
        <v>355</v>
      </c>
      <c r="F176" s="55"/>
      <c r="G176" s="32" t="s">
        <v>457</v>
      </c>
      <c r="H176" s="63">
        <v>30</v>
      </c>
      <c r="I176" s="28" t="s">
        <v>183</v>
      </c>
      <c r="J176" s="62"/>
      <c r="K176" s="44"/>
      <c r="L176" s="57"/>
      <c r="M176" s="57" t="s">
        <v>507</v>
      </c>
      <c r="N176" s="26"/>
      <c r="O176" s="48">
        <v>152</v>
      </c>
      <c r="P176" s="31" t="s">
        <v>355</v>
      </c>
      <c r="Q176" s="55"/>
      <c r="R176" s="32" t="s">
        <v>207</v>
      </c>
      <c r="S176" s="63">
        <v>30</v>
      </c>
      <c r="T176" s="28" t="s">
        <v>183</v>
      </c>
      <c r="U176" s="62"/>
      <c r="V176" s="44"/>
      <c r="W176" s="55"/>
      <c r="X176" s="4"/>
    </row>
    <row r="177" spans="2:24" s="1" customFormat="1" ht="16.5" customHeight="1" x14ac:dyDescent="0.3">
      <c r="B177" s="1" t="s">
        <v>480</v>
      </c>
      <c r="C177" s="21"/>
      <c r="D177" s="48">
        <v>153</v>
      </c>
      <c r="E177" s="31" t="s">
        <v>356</v>
      </c>
      <c r="F177" s="55"/>
      <c r="G177" s="32" t="s">
        <v>473</v>
      </c>
      <c r="H177" s="63" t="s">
        <v>471</v>
      </c>
      <c r="I177" s="28" t="s">
        <v>183</v>
      </c>
      <c r="J177" s="62"/>
      <c r="K177" s="44"/>
      <c r="L177" s="57"/>
      <c r="M177" s="57" t="s">
        <v>507</v>
      </c>
      <c r="N177" s="26"/>
      <c r="O177" s="48">
        <v>153</v>
      </c>
      <c r="P177" s="31" t="s">
        <v>356</v>
      </c>
      <c r="Q177" s="55"/>
      <c r="R177" s="32" t="s">
        <v>201</v>
      </c>
      <c r="S177" s="63">
        <v>15</v>
      </c>
      <c r="T177" s="28" t="s">
        <v>183</v>
      </c>
      <c r="U177" s="62"/>
      <c r="V177" s="44"/>
      <c r="W177" s="55"/>
      <c r="X177" s="4"/>
    </row>
    <row r="178" spans="2:24" s="1" customFormat="1" ht="16.5" customHeight="1" x14ac:dyDescent="0.3">
      <c r="B178" s="1" t="s">
        <v>480</v>
      </c>
      <c r="C178" s="21"/>
      <c r="D178" s="48">
        <v>154</v>
      </c>
      <c r="E178" s="31" t="s">
        <v>357</v>
      </c>
      <c r="F178" s="55"/>
      <c r="G178" s="32" t="s">
        <v>457</v>
      </c>
      <c r="H178" s="63">
        <v>1</v>
      </c>
      <c r="I178" s="28" t="s">
        <v>183</v>
      </c>
      <c r="J178" s="62"/>
      <c r="K178" s="44"/>
      <c r="L178" s="57"/>
      <c r="M178" s="57" t="s">
        <v>507</v>
      </c>
      <c r="N178" s="26"/>
      <c r="O178" s="48">
        <v>154</v>
      </c>
      <c r="P178" s="31" t="s">
        <v>357</v>
      </c>
      <c r="Q178" s="55"/>
      <c r="R178" s="32" t="s">
        <v>207</v>
      </c>
      <c r="S178" s="63">
        <v>1</v>
      </c>
      <c r="T178" s="28" t="s">
        <v>183</v>
      </c>
      <c r="U178" s="62"/>
      <c r="V178" s="44"/>
      <c r="W178" s="55"/>
      <c r="X178" s="4"/>
    </row>
    <row r="179" spans="2:24" s="1" customFormat="1" ht="16.5" customHeight="1" x14ac:dyDescent="0.3">
      <c r="B179" s="1" t="s">
        <v>480</v>
      </c>
      <c r="C179" s="21"/>
      <c r="D179" s="48">
        <v>155</v>
      </c>
      <c r="E179" s="31" t="s">
        <v>358</v>
      </c>
      <c r="F179" s="55"/>
      <c r="G179" s="32" t="s">
        <v>473</v>
      </c>
      <c r="H179" s="63" t="s">
        <v>471</v>
      </c>
      <c r="I179" s="28" t="s">
        <v>183</v>
      </c>
      <c r="J179" s="62"/>
      <c r="K179" s="44"/>
      <c r="L179" s="57"/>
      <c r="M179" s="57" t="s">
        <v>507</v>
      </c>
      <c r="N179" s="26"/>
      <c r="O179" s="48">
        <v>155</v>
      </c>
      <c r="P179" s="31" t="s">
        <v>358</v>
      </c>
      <c r="Q179" s="55"/>
      <c r="R179" s="32" t="s">
        <v>201</v>
      </c>
      <c r="S179" s="63">
        <v>15</v>
      </c>
      <c r="T179" s="28" t="s">
        <v>183</v>
      </c>
      <c r="U179" s="62"/>
      <c r="V179" s="44"/>
      <c r="W179" s="55"/>
      <c r="X179" s="4"/>
    </row>
    <row r="180" spans="2:24" s="1" customFormat="1" ht="16.5" customHeight="1" x14ac:dyDescent="0.3">
      <c r="B180" s="1" t="s">
        <v>480</v>
      </c>
      <c r="C180" s="21"/>
      <c r="D180" s="48">
        <v>156</v>
      </c>
      <c r="E180" s="31" t="s">
        <v>359</v>
      </c>
      <c r="F180" s="55"/>
      <c r="G180" s="32" t="s">
        <v>457</v>
      </c>
      <c r="H180" s="63">
        <v>1</v>
      </c>
      <c r="I180" s="28" t="s">
        <v>183</v>
      </c>
      <c r="J180" s="62"/>
      <c r="K180" s="44"/>
      <c r="L180" s="57"/>
      <c r="M180" s="57" t="s">
        <v>507</v>
      </c>
      <c r="N180" s="26"/>
      <c r="O180" s="48">
        <v>156</v>
      </c>
      <c r="P180" s="31" t="s">
        <v>359</v>
      </c>
      <c r="Q180" s="55"/>
      <c r="R180" s="32" t="s">
        <v>207</v>
      </c>
      <c r="S180" s="63">
        <v>1</v>
      </c>
      <c r="T180" s="28" t="s">
        <v>183</v>
      </c>
      <c r="U180" s="62"/>
      <c r="V180" s="44"/>
      <c r="W180" s="55"/>
      <c r="X180" s="4"/>
    </row>
    <row r="181" spans="2:24" s="1" customFormat="1" ht="16.5" customHeight="1" x14ac:dyDescent="0.3">
      <c r="B181" s="1" t="s">
        <v>480</v>
      </c>
      <c r="C181" s="21"/>
      <c r="D181" s="48">
        <v>157</v>
      </c>
      <c r="E181" s="31" t="s">
        <v>360</v>
      </c>
      <c r="F181" s="55"/>
      <c r="G181" s="32" t="s">
        <v>457</v>
      </c>
      <c r="H181" s="63">
        <v>1</v>
      </c>
      <c r="I181" s="28" t="s">
        <v>183</v>
      </c>
      <c r="J181" s="62"/>
      <c r="K181" s="44"/>
      <c r="L181" s="57"/>
      <c r="M181" s="57" t="s">
        <v>507</v>
      </c>
      <c r="N181" s="26"/>
      <c r="O181" s="48">
        <v>157</v>
      </c>
      <c r="P181" s="31" t="s">
        <v>360</v>
      </c>
      <c r="Q181" s="55"/>
      <c r="R181" s="32" t="s">
        <v>207</v>
      </c>
      <c r="S181" s="63">
        <v>1</v>
      </c>
      <c r="T181" s="28" t="s">
        <v>183</v>
      </c>
      <c r="U181" s="62"/>
      <c r="V181" s="44"/>
      <c r="W181" s="55"/>
      <c r="X181" s="4"/>
    </row>
    <row r="182" spans="2:24" s="1" customFormat="1" ht="16.5" customHeight="1" x14ac:dyDescent="0.3">
      <c r="B182" s="1" t="s">
        <v>480</v>
      </c>
      <c r="C182" s="21"/>
      <c r="D182" s="48">
        <v>158</v>
      </c>
      <c r="E182" s="31" t="s">
        <v>361</v>
      </c>
      <c r="F182" s="55"/>
      <c r="G182" s="32" t="s">
        <v>457</v>
      </c>
      <c r="H182" s="63">
        <v>1</v>
      </c>
      <c r="I182" s="28" t="s">
        <v>183</v>
      </c>
      <c r="J182" s="62"/>
      <c r="K182" s="44"/>
      <c r="L182" s="57"/>
      <c r="M182" s="57" t="s">
        <v>507</v>
      </c>
      <c r="N182" s="26"/>
      <c r="O182" s="48">
        <v>158</v>
      </c>
      <c r="P182" s="31" t="s">
        <v>361</v>
      </c>
      <c r="Q182" s="55"/>
      <c r="R182" s="32" t="s">
        <v>207</v>
      </c>
      <c r="S182" s="63">
        <v>1</v>
      </c>
      <c r="T182" s="28" t="s">
        <v>183</v>
      </c>
      <c r="U182" s="62"/>
      <c r="V182" s="44"/>
      <c r="W182" s="55"/>
      <c r="X182" s="4"/>
    </row>
    <row r="183" spans="2:24" s="1" customFormat="1" ht="16.5" customHeight="1" x14ac:dyDescent="0.3">
      <c r="B183" s="1" t="s">
        <v>480</v>
      </c>
      <c r="C183" s="21"/>
      <c r="D183" s="48">
        <v>159</v>
      </c>
      <c r="E183" s="31" t="s">
        <v>362</v>
      </c>
      <c r="F183" s="55"/>
      <c r="G183" s="32" t="s">
        <v>458</v>
      </c>
      <c r="H183" s="63"/>
      <c r="I183" s="28" t="s">
        <v>183</v>
      </c>
      <c r="J183" s="62"/>
      <c r="K183" s="44"/>
      <c r="L183" s="57"/>
      <c r="M183" s="57" t="s">
        <v>507</v>
      </c>
      <c r="N183" s="26"/>
      <c r="O183" s="48">
        <v>159</v>
      </c>
      <c r="P183" s="31" t="s">
        <v>362</v>
      </c>
      <c r="Q183" s="55"/>
      <c r="R183" s="32" t="s">
        <v>202</v>
      </c>
      <c r="S183" s="63"/>
      <c r="T183" s="28" t="s">
        <v>183</v>
      </c>
      <c r="U183" s="62"/>
      <c r="V183" s="44"/>
      <c r="W183" s="55"/>
      <c r="X183" s="4"/>
    </row>
    <row r="184" spans="2:24" s="1" customFormat="1" ht="16.5" customHeight="1" x14ac:dyDescent="0.3">
      <c r="B184" s="1" t="s">
        <v>480</v>
      </c>
      <c r="C184" s="21"/>
      <c r="D184" s="48">
        <v>160</v>
      </c>
      <c r="E184" s="31" t="s">
        <v>363</v>
      </c>
      <c r="F184" s="55"/>
      <c r="G184" s="32" t="s">
        <v>458</v>
      </c>
      <c r="H184" s="63"/>
      <c r="I184" s="28" t="s">
        <v>183</v>
      </c>
      <c r="J184" s="62"/>
      <c r="K184" s="44"/>
      <c r="L184" s="57"/>
      <c r="M184" s="57" t="s">
        <v>507</v>
      </c>
      <c r="N184" s="26"/>
      <c r="O184" s="48">
        <v>160</v>
      </c>
      <c r="P184" s="31" t="s">
        <v>363</v>
      </c>
      <c r="Q184" s="55"/>
      <c r="R184" s="32" t="s">
        <v>202</v>
      </c>
      <c r="S184" s="63"/>
      <c r="T184" s="28" t="s">
        <v>183</v>
      </c>
      <c r="U184" s="62"/>
      <c r="V184" s="44"/>
      <c r="W184" s="55"/>
      <c r="X184" s="4"/>
    </row>
    <row r="185" spans="2:24" s="1" customFormat="1" ht="16.5" customHeight="1" x14ac:dyDescent="0.3">
      <c r="B185" s="1" t="s">
        <v>480</v>
      </c>
      <c r="C185" s="21"/>
      <c r="D185" s="48">
        <v>161</v>
      </c>
      <c r="E185" s="31" t="s">
        <v>364</v>
      </c>
      <c r="F185" s="55"/>
      <c r="G185" s="32" t="s">
        <v>458</v>
      </c>
      <c r="H185" s="63"/>
      <c r="I185" s="28" t="s">
        <v>183</v>
      </c>
      <c r="J185" s="62"/>
      <c r="K185" s="44"/>
      <c r="L185" s="57"/>
      <c r="M185" s="57" t="s">
        <v>507</v>
      </c>
      <c r="N185" s="26"/>
      <c r="O185" s="48">
        <v>161</v>
      </c>
      <c r="P185" s="31" t="s">
        <v>364</v>
      </c>
      <c r="Q185" s="55"/>
      <c r="R185" s="32" t="s">
        <v>202</v>
      </c>
      <c r="S185" s="63"/>
      <c r="T185" s="28" t="s">
        <v>183</v>
      </c>
      <c r="U185" s="62"/>
      <c r="V185" s="44"/>
      <c r="W185" s="55"/>
      <c r="X185" s="4"/>
    </row>
    <row r="186" spans="2:24" s="1" customFormat="1" ht="16.5" customHeight="1" x14ac:dyDescent="0.3">
      <c r="B186" s="1" t="s">
        <v>480</v>
      </c>
      <c r="C186" s="21"/>
      <c r="D186" s="48">
        <v>162</v>
      </c>
      <c r="E186" s="31" t="s">
        <v>365</v>
      </c>
      <c r="F186" s="55"/>
      <c r="G186" s="32" t="s">
        <v>458</v>
      </c>
      <c r="H186" s="63"/>
      <c r="I186" s="28" t="s">
        <v>183</v>
      </c>
      <c r="J186" s="62"/>
      <c r="K186" s="44"/>
      <c r="L186" s="57"/>
      <c r="M186" s="57" t="s">
        <v>507</v>
      </c>
      <c r="N186" s="26"/>
      <c r="O186" s="48">
        <v>162</v>
      </c>
      <c r="P186" s="31" t="s">
        <v>365</v>
      </c>
      <c r="Q186" s="55"/>
      <c r="R186" s="32" t="s">
        <v>202</v>
      </c>
      <c r="S186" s="63"/>
      <c r="T186" s="28" t="s">
        <v>183</v>
      </c>
      <c r="U186" s="62"/>
      <c r="V186" s="44"/>
      <c r="W186" s="55"/>
      <c r="X186" s="4"/>
    </row>
    <row r="187" spans="2:24" s="1" customFormat="1" ht="16.5" customHeight="1" x14ac:dyDescent="0.3">
      <c r="B187" s="1" t="s">
        <v>480</v>
      </c>
      <c r="C187" s="21"/>
      <c r="D187" s="48">
        <v>163</v>
      </c>
      <c r="E187" s="31" t="s">
        <v>366</v>
      </c>
      <c r="F187" s="55"/>
      <c r="G187" s="32" t="s">
        <v>458</v>
      </c>
      <c r="H187" s="63"/>
      <c r="I187" s="28" t="s">
        <v>183</v>
      </c>
      <c r="J187" s="62"/>
      <c r="K187" s="44"/>
      <c r="L187" s="57"/>
      <c r="M187" s="57" t="s">
        <v>507</v>
      </c>
      <c r="N187" s="26"/>
      <c r="O187" s="48">
        <v>163</v>
      </c>
      <c r="P187" s="31" t="s">
        <v>366</v>
      </c>
      <c r="Q187" s="55"/>
      <c r="R187" s="32" t="s">
        <v>202</v>
      </c>
      <c r="S187" s="63"/>
      <c r="T187" s="28" t="s">
        <v>183</v>
      </c>
      <c r="U187" s="62"/>
      <c r="V187" s="44"/>
      <c r="W187" s="55"/>
      <c r="X187" s="4"/>
    </row>
    <row r="188" spans="2:24" s="1" customFormat="1" ht="16.5" customHeight="1" x14ac:dyDescent="0.3">
      <c r="B188" s="1" t="s">
        <v>480</v>
      </c>
      <c r="C188" s="21"/>
      <c r="D188" s="48">
        <v>164</v>
      </c>
      <c r="E188" s="31" t="s">
        <v>367</v>
      </c>
      <c r="F188" s="55"/>
      <c r="G188" s="32" t="s">
        <v>458</v>
      </c>
      <c r="H188" s="63"/>
      <c r="I188" s="28" t="s">
        <v>183</v>
      </c>
      <c r="J188" s="62"/>
      <c r="K188" s="44"/>
      <c r="L188" s="57"/>
      <c r="M188" s="57" t="s">
        <v>507</v>
      </c>
      <c r="N188" s="26"/>
      <c r="O188" s="48">
        <v>164</v>
      </c>
      <c r="P188" s="31" t="s">
        <v>367</v>
      </c>
      <c r="Q188" s="55"/>
      <c r="R188" s="32" t="s">
        <v>202</v>
      </c>
      <c r="S188" s="63"/>
      <c r="T188" s="28" t="s">
        <v>183</v>
      </c>
      <c r="U188" s="62"/>
      <c r="V188" s="44"/>
      <c r="W188" s="55"/>
      <c r="X188" s="4"/>
    </row>
    <row r="189" spans="2:24" s="1" customFormat="1" ht="16.5" customHeight="1" x14ac:dyDescent="0.3">
      <c r="B189" s="1" t="s">
        <v>480</v>
      </c>
      <c r="C189" s="21"/>
      <c r="D189" s="48">
        <v>165</v>
      </c>
      <c r="E189" s="31" t="s">
        <v>368</v>
      </c>
      <c r="F189" s="55"/>
      <c r="G189" s="32" t="s">
        <v>457</v>
      </c>
      <c r="H189" s="63">
        <v>30</v>
      </c>
      <c r="I189" s="28" t="s">
        <v>183</v>
      </c>
      <c r="J189" s="62"/>
      <c r="K189" s="44"/>
      <c r="L189" s="57"/>
      <c r="M189" s="57" t="s">
        <v>507</v>
      </c>
      <c r="N189" s="26"/>
      <c r="O189" s="48">
        <v>165</v>
      </c>
      <c r="P189" s="31" t="s">
        <v>368</v>
      </c>
      <c r="Q189" s="55"/>
      <c r="R189" s="32" t="s">
        <v>207</v>
      </c>
      <c r="S189" s="63">
        <v>30</v>
      </c>
      <c r="T189" s="28" t="s">
        <v>183</v>
      </c>
      <c r="U189" s="62"/>
      <c r="V189" s="44"/>
      <c r="W189" s="55"/>
      <c r="X189" s="4"/>
    </row>
    <row r="190" spans="2:24" s="1" customFormat="1" ht="16.5" customHeight="1" x14ac:dyDescent="0.3">
      <c r="B190" s="1" t="s">
        <v>480</v>
      </c>
      <c r="C190" s="21"/>
      <c r="D190" s="48">
        <v>166</v>
      </c>
      <c r="E190" s="31" t="s">
        <v>369</v>
      </c>
      <c r="F190" s="55"/>
      <c r="G190" s="32" t="s">
        <v>457</v>
      </c>
      <c r="H190" s="63">
        <v>30</v>
      </c>
      <c r="I190" s="28" t="s">
        <v>183</v>
      </c>
      <c r="J190" s="62"/>
      <c r="K190" s="44"/>
      <c r="L190" s="57"/>
      <c r="M190" s="57" t="s">
        <v>507</v>
      </c>
      <c r="N190" s="26"/>
      <c r="O190" s="48">
        <v>166</v>
      </c>
      <c r="P190" s="31" t="s">
        <v>369</v>
      </c>
      <c r="Q190" s="55"/>
      <c r="R190" s="32" t="s">
        <v>207</v>
      </c>
      <c r="S190" s="63">
        <v>30</v>
      </c>
      <c r="T190" s="28" t="s">
        <v>183</v>
      </c>
      <c r="U190" s="62"/>
      <c r="V190" s="44"/>
      <c r="W190" s="55"/>
      <c r="X190" s="4"/>
    </row>
    <row r="191" spans="2:24" s="1" customFormat="1" ht="16.5" customHeight="1" x14ac:dyDescent="0.3">
      <c r="B191" s="1" t="s">
        <v>480</v>
      </c>
      <c r="C191" s="21"/>
      <c r="D191" s="48">
        <v>167</v>
      </c>
      <c r="E191" s="31" t="s">
        <v>370</v>
      </c>
      <c r="F191" s="55"/>
      <c r="G191" s="32" t="s">
        <v>473</v>
      </c>
      <c r="H191" s="63" t="s">
        <v>471</v>
      </c>
      <c r="I191" s="28" t="s">
        <v>183</v>
      </c>
      <c r="J191" s="62"/>
      <c r="K191" s="44"/>
      <c r="L191" s="57"/>
      <c r="M191" s="57" t="s">
        <v>507</v>
      </c>
      <c r="N191" s="26"/>
      <c r="O191" s="48">
        <v>167</v>
      </c>
      <c r="P191" s="31" t="s">
        <v>370</v>
      </c>
      <c r="Q191" s="55"/>
      <c r="R191" s="32" t="s">
        <v>201</v>
      </c>
      <c r="S191" s="63"/>
      <c r="T191" s="28" t="s">
        <v>183</v>
      </c>
      <c r="U191" s="62"/>
      <c r="V191" s="44"/>
      <c r="W191" s="55"/>
      <c r="X191" s="4"/>
    </row>
    <row r="192" spans="2:24" s="1" customFormat="1" ht="16.5" customHeight="1" x14ac:dyDescent="0.3">
      <c r="B192" s="1" t="s">
        <v>480</v>
      </c>
      <c r="C192" s="21"/>
      <c r="D192" s="48">
        <v>168</v>
      </c>
      <c r="E192" s="31" t="s">
        <v>371</v>
      </c>
      <c r="F192" s="55"/>
      <c r="G192" s="32" t="s">
        <v>458</v>
      </c>
      <c r="H192" s="63"/>
      <c r="I192" s="28" t="s">
        <v>183</v>
      </c>
      <c r="J192" s="62"/>
      <c r="K192" s="44"/>
      <c r="L192" s="57"/>
      <c r="M192" s="57" t="s">
        <v>507</v>
      </c>
      <c r="N192" s="26"/>
      <c r="O192" s="48">
        <v>168</v>
      </c>
      <c r="P192" s="31" t="s">
        <v>371</v>
      </c>
      <c r="Q192" s="55"/>
      <c r="R192" s="32" t="s">
        <v>202</v>
      </c>
      <c r="S192" s="63"/>
      <c r="T192" s="28" t="s">
        <v>183</v>
      </c>
      <c r="U192" s="62"/>
      <c r="V192" s="44"/>
      <c r="W192" s="55"/>
      <c r="X192" s="4"/>
    </row>
    <row r="193" spans="2:24" s="1" customFormat="1" ht="16.5" customHeight="1" x14ac:dyDescent="0.3">
      <c r="B193" s="1" t="s">
        <v>480</v>
      </c>
      <c r="C193" s="21"/>
      <c r="D193" s="48">
        <v>169</v>
      </c>
      <c r="E193" s="31" t="s">
        <v>372</v>
      </c>
      <c r="F193" s="55"/>
      <c r="G193" s="32" t="s">
        <v>473</v>
      </c>
      <c r="H193" s="63" t="s">
        <v>471</v>
      </c>
      <c r="I193" s="28" t="s">
        <v>183</v>
      </c>
      <c r="J193" s="62"/>
      <c r="K193" s="44"/>
      <c r="L193" s="57"/>
      <c r="M193" s="57" t="s">
        <v>507</v>
      </c>
      <c r="N193" s="26"/>
      <c r="O193" s="48">
        <v>169</v>
      </c>
      <c r="P193" s="31" t="s">
        <v>372</v>
      </c>
      <c r="Q193" s="55"/>
      <c r="R193" s="32" t="s">
        <v>201</v>
      </c>
      <c r="S193" s="63"/>
      <c r="T193" s="28" t="s">
        <v>183</v>
      </c>
      <c r="U193" s="62"/>
      <c r="V193" s="44"/>
      <c r="W193" s="55"/>
      <c r="X193" s="4"/>
    </row>
    <row r="194" spans="2:24" s="1" customFormat="1" ht="16.5" customHeight="1" x14ac:dyDescent="0.3">
      <c r="B194" s="1" t="s">
        <v>480</v>
      </c>
      <c r="C194" s="21"/>
      <c r="D194" s="48">
        <v>170</v>
      </c>
      <c r="E194" s="31" t="s">
        <v>373</v>
      </c>
      <c r="F194" s="55"/>
      <c r="G194" s="32" t="s">
        <v>473</v>
      </c>
      <c r="H194" s="63" t="s">
        <v>471</v>
      </c>
      <c r="I194" s="28" t="s">
        <v>183</v>
      </c>
      <c r="J194" s="62"/>
      <c r="K194" s="44"/>
      <c r="L194" s="57"/>
      <c r="M194" s="57" t="s">
        <v>507</v>
      </c>
      <c r="N194" s="26"/>
      <c r="O194" s="48">
        <v>170</v>
      </c>
      <c r="P194" s="31" t="s">
        <v>373</v>
      </c>
      <c r="Q194" s="55"/>
      <c r="R194" s="32" t="s">
        <v>201</v>
      </c>
      <c r="S194" s="63"/>
      <c r="T194" s="28" t="s">
        <v>183</v>
      </c>
      <c r="U194" s="62"/>
      <c r="V194" s="44"/>
      <c r="W194" s="55"/>
      <c r="X194" s="4"/>
    </row>
    <row r="195" spans="2:24" s="1" customFormat="1" ht="16.5" customHeight="1" x14ac:dyDescent="0.3">
      <c r="B195" s="1" t="s">
        <v>480</v>
      </c>
      <c r="C195" s="21"/>
      <c r="D195" s="48">
        <v>171</v>
      </c>
      <c r="E195" s="31" t="s">
        <v>374</v>
      </c>
      <c r="F195" s="55"/>
      <c r="G195" s="32" t="s">
        <v>473</v>
      </c>
      <c r="H195" s="63" t="s">
        <v>471</v>
      </c>
      <c r="I195" s="28" t="s">
        <v>183</v>
      </c>
      <c r="J195" s="62"/>
      <c r="K195" s="44"/>
      <c r="L195" s="57"/>
      <c r="M195" s="57" t="s">
        <v>507</v>
      </c>
      <c r="N195" s="26"/>
      <c r="O195" s="48">
        <v>171</v>
      </c>
      <c r="P195" s="31" t="s">
        <v>374</v>
      </c>
      <c r="Q195" s="55"/>
      <c r="R195" s="32" t="s">
        <v>201</v>
      </c>
      <c r="S195" s="63"/>
      <c r="T195" s="28" t="s">
        <v>183</v>
      </c>
      <c r="U195" s="62"/>
      <c r="V195" s="44"/>
      <c r="W195" s="55"/>
      <c r="X195" s="4"/>
    </row>
    <row r="196" spans="2:24" s="1" customFormat="1" ht="16.5" customHeight="1" x14ac:dyDescent="0.3">
      <c r="B196" s="1" t="s">
        <v>480</v>
      </c>
      <c r="C196" s="21"/>
      <c r="D196" s="48">
        <v>172</v>
      </c>
      <c r="E196" s="31" t="s">
        <v>375</v>
      </c>
      <c r="F196" s="55"/>
      <c r="G196" s="32" t="s">
        <v>457</v>
      </c>
      <c r="H196" s="63">
        <v>240</v>
      </c>
      <c r="I196" s="28" t="s">
        <v>183</v>
      </c>
      <c r="J196" s="44" t="s">
        <v>442</v>
      </c>
      <c r="K196" s="44"/>
      <c r="L196" s="57"/>
      <c r="M196" s="57" t="s">
        <v>507</v>
      </c>
      <c r="N196" s="26"/>
      <c r="O196" s="48">
        <v>172</v>
      </c>
      <c r="P196" s="31" t="s">
        <v>375</v>
      </c>
      <c r="Q196" s="55"/>
      <c r="R196" s="32" t="s">
        <v>207</v>
      </c>
      <c r="S196" s="63">
        <v>240</v>
      </c>
      <c r="T196" s="28" t="s">
        <v>183</v>
      </c>
      <c r="U196" s="44" t="s">
        <v>442</v>
      </c>
      <c r="V196" s="44"/>
      <c r="W196" s="55"/>
      <c r="X196" s="4"/>
    </row>
    <row r="197" spans="2:24" s="1" customFormat="1" ht="16.5" customHeight="1" x14ac:dyDescent="0.3">
      <c r="B197" s="1" t="s">
        <v>480</v>
      </c>
      <c r="C197" s="21"/>
      <c r="D197" s="48">
        <v>173</v>
      </c>
      <c r="E197" s="31" t="s">
        <v>376</v>
      </c>
      <c r="F197" s="55"/>
      <c r="G197" s="32" t="s">
        <v>457</v>
      </c>
      <c r="H197" s="63">
        <v>90</v>
      </c>
      <c r="I197" s="28" t="s">
        <v>183</v>
      </c>
      <c r="J197" s="62"/>
      <c r="K197" s="44"/>
      <c r="L197" s="57"/>
      <c r="M197" s="57" t="s">
        <v>507</v>
      </c>
      <c r="N197" s="26"/>
      <c r="O197" s="48">
        <v>173</v>
      </c>
      <c r="P197" s="31" t="s">
        <v>376</v>
      </c>
      <c r="Q197" s="55"/>
      <c r="R197" s="32" t="s">
        <v>207</v>
      </c>
      <c r="S197" s="63">
        <v>90</v>
      </c>
      <c r="T197" s="28" t="s">
        <v>183</v>
      </c>
      <c r="U197" s="62"/>
      <c r="V197" s="44"/>
      <c r="W197" s="55"/>
      <c r="X197" s="4"/>
    </row>
    <row r="198" spans="2:24" s="1" customFormat="1" ht="16.5" customHeight="1" x14ac:dyDescent="0.3">
      <c r="B198" s="1" t="s">
        <v>480</v>
      </c>
      <c r="C198" s="21"/>
      <c r="D198" s="48">
        <v>174</v>
      </c>
      <c r="E198" s="31" t="s">
        <v>377</v>
      </c>
      <c r="F198" s="55"/>
      <c r="G198" s="32" t="s">
        <v>457</v>
      </c>
      <c r="H198" s="63">
        <v>30</v>
      </c>
      <c r="I198" s="28" t="s">
        <v>183</v>
      </c>
      <c r="J198" s="62"/>
      <c r="K198" s="44"/>
      <c r="L198" s="57"/>
      <c r="M198" s="57" t="s">
        <v>507</v>
      </c>
      <c r="N198" s="26"/>
      <c r="O198" s="48">
        <v>174</v>
      </c>
      <c r="P198" s="31" t="s">
        <v>377</v>
      </c>
      <c r="Q198" s="55"/>
      <c r="R198" s="32" t="s">
        <v>207</v>
      </c>
      <c r="S198" s="63">
        <v>30</v>
      </c>
      <c r="T198" s="28" t="s">
        <v>183</v>
      </c>
      <c r="U198" s="62"/>
      <c r="V198" s="44"/>
      <c r="W198" s="55"/>
      <c r="X198" s="4"/>
    </row>
    <row r="199" spans="2:24" s="1" customFormat="1" ht="16.5" customHeight="1" x14ac:dyDescent="0.3">
      <c r="B199" s="1" t="s">
        <v>480</v>
      </c>
      <c r="C199" s="21"/>
      <c r="D199" s="48">
        <v>175</v>
      </c>
      <c r="E199" s="31" t="s">
        <v>378</v>
      </c>
      <c r="F199" s="55"/>
      <c r="G199" s="32" t="s">
        <v>457</v>
      </c>
      <c r="H199" s="63">
        <v>30</v>
      </c>
      <c r="I199" s="28" t="s">
        <v>183</v>
      </c>
      <c r="J199" s="62"/>
      <c r="K199" s="44"/>
      <c r="L199" s="57"/>
      <c r="M199" s="57" t="s">
        <v>507</v>
      </c>
      <c r="N199" s="26"/>
      <c r="O199" s="48">
        <v>175</v>
      </c>
      <c r="P199" s="31" t="s">
        <v>378</v>
      </c>
      <c r="Q199" s="55"/>
      <c r="R199" s="32" t="s">
        <v>207</v>
      </c>
      <c r="S199" s="63">
        <v>30</v>
      </c>
      <c r="T199" s="28" t="s">
        <v>183</v>
      </c>
      <c r="U199" s="62"/>
      <c r="V199" s="44"/>
      <c r="W199" s="55"/>
      <c r="X199" s="4"/>
    </row>
    <row r="200" spans="2:24" s="1" customFormat="1" ht="16.5" customHeight="1" x14ac:dyDescent="0.3">
      <c r="B200" s="1" t="s">
        <v>480</v>
      </c>
      <c r="C200" s="21"/>
      <c r="D200" s="48">
        <v>176</v>
      </c>
      <c r="E200" s="31" t="s">
        <v>379</v>
      </c>
      <c r="F200" s="55"/>
      <c r="G200" s="32" t="s">
        <v>473</v>
      </c>
      <c r="H200" s="63" t="s">
        <v>471</v>
      </c>
      <c r="I200" s="28" t="s">
        <v>183</v>
      </c>
      <c r="J200" s="62"/>
      <c r="K200" s="44"/>
      <c r="L200" s="57"/>
      <c r="M200" s="57" t="s">
        <v>507</v>
      </c>
      <c r="N200" s="26"/>
      <c r="O200" s="48">
        <v>176</v>
      </c>
      <c r="P200" s="31" t="s">
        <v>379</v>
      </c>
      <c r="Q200" s="55"/>
      <c r="R200" s="32" t="s">
        <v>201</v>
      </c>
      <c r="S200" s="63">
        <v>15</v>
      </c>
      <c r="T200" s="28" t="s">
        <v>183</v>
      </c>
      <c r="U200" s="62"/>
      <c r="V200" s="44"/>
      <c r="W200" s="55"/>
      <c r="X200" s="4"/>
    </row>
    <row r="201" spans="2:24" s="1" customFormat="1" ht="16.5" customHeight="1" x14ac:dyDescent="0.3">
      <c r="B201" s="1" t="s">
        <v>480</v>
      </c>
      <c r="C201" s="21"/>
      <c r="D201" s="48">
        <v>177</v>
      </c>
      <c r="E201" s="31" t="s">
        <v>380</v>
      </c>
      <c r="F201" s="55"/>
      <c r="G201" s="32" t="s">
        <v>457</v>
      </c>
      <c r="H201" s="63">
        <v>1</v>
      </c>
      <c r="I201" s="28" t="s">
        <v>183</v>
      </c>
      <c r="J201" s="62"/>
      <c r="K201" s="44"/>
      <c r="L201" s="57"/>
      <c r="M201" s="57" t="s">
        <v>507</v>
      </c>
      <c r="N201" s="26"/>
      <c r="O201" s="48">
        <v>177</v>
      </c>
      <c r="P201" s="31" t="s">
        <v>380</v>
      </c>
      <c r="Q201" s="55"/>
      <c r="R201" s="32" t="s">
        <v>207</v>
      </c>
      <c r="S201" s="63">
        <v>1</v>
      </c>
      <c r="T201" s="28" t="s">
        <v>183</v>
      </c>
      <c r="U201" s="62"/>
      <c r="V201" s="44"/>
      <c r="W201" s="55"/>
      <c r="X201" s="4"/>
    </row>
    <row r="202" spans="2:24" s="1" customFormat="1" ht="16.5" customHeight="1" x14ac:dyDescent="0.3">
      <c r="B202" s="1" t="s">
        <v>480</v>
      </c>
      <c r="C202" s="21"/>
      <c r="D202" s="48">
        <v>178</v>
      </c>
      <c r="E202" s="31" t="s">
        <v>381</v>
      </c>
      <c r="F202" s="55"/>
      <c r="G202" s="32" t="s">
        <v>458</v>
      </c>
      <c r="H202" s="63"/>
      <c r="I202" s="28" t="s">
        <v>183</v>
      </c>
      <c r="J202" s="62"/>
      <c r="K202" s="44"/>
      <c r="L202" s="57"/>
      <c r="M202" s="57" t="s">
        <v>507</v>
      </c>
      <c r="N202" s="26"/>
      <c r="O202" s="48">
        <v>178</v>
      </c>
      <c r="P202" s="31" t="s">
        <v>381</v>
      </c>
      <c r="Q202" s="55"/>
      <c r="R202" s="32" t="s">
        <v>202</v>
      </c>
      <c r="S202" s="63"/>
      <c r="T202" s="28" t="s">
        <v>183</v>
      </c>
      <c r="U202" s="62"/>
      <c r="V202" s="44"/>
      <c r="W202" s="55"/>
      <c r="X202" s="4"/>
    </row>
    <row r="203" spans="2:24" s="1" customFormat="1" ht="16.5" customHeight="1" x14ac:dyDescent="0.3">
      <c r="B203" s="1" t="s">
        <v>480</v>
      </c>
      <c r="C203" s="21"/>
      <c r="D203" s="48">
        <v>179</v>
      </c>
      <c r="E203" s="31" t="s">
        <v>382</v>
      </c>
      <c r="F203" s="55"/>
      <c r="G203" s="32" t="s">
        <v>457</v>
      </c>
      <c r="H203" s="63">
        <v>1</v>
      </c>
      <c r="I203" s="28" t="s">
        <v>183</v>
      </c>
      <c r="J203" s="62"/>
      <c r="K203" s="44"/>
      <c r="L203" s="57"/>
      <c r="M203" s="57" t="s">
        <v>507</v>
      </c>
      <c r="N203" s="26"/>
      <c r="O203" s="48">
        <v>179</v>
      </c>
      <c r="P203" s="31" t="s">
        <v>382</v>
      </c>
      <c r="Q203" s="55"/>
      <c r="R203" s="32" t="s">
        <v>207</v>
      </c>
      <c r="S203" s="63">
        <v>1</v>
      </c>
      <c r="T203" s="28" t="s">
        <v>183</v>
      </c>
      <c r="U203" s="62"/>
      <c r="V203" s="44"/>
      <c r="W203" s="55"/>
      <c r="X203" s="4"/>
    </row>
    <row r="204" spans="2:24" s="1" customFormat="1" ht="16.5" customHeight="1" x14ac:dyDescent="0.3">
      <c r="B204" s="1" t="s">
        <v>480</v>
      </c>
      <c r="C204" s="21"/>
      <c r="D204" s="48">
        <v>180</v>
      </c>
      <c r="E204" s="31" t="s">
        <v>383</v>
      </c>
      <c r="F204" s="55"/>
      <c r="G204" s="32" t="s">
        <v>457</v>
      </c>
      <c r="H204" s="63">
        <v>30</v>
      </c>
      <c r="I204" s="28" t="s">
        <v>183</v>
      </c>
      <c r="J204" s="62"/>
      <c r="K204" s="44"/>
      <c r="L204" s="57"/>
      <c r="M204" s="57" t="s">
        <v>507</v>
      </c>
      <c r="N204" s="26"/>
      <c r="O204" s="48">
        <v>180</v>
      </c>
      <c r="P204" s="31" t="s">
        <v>383</v>
      </c>
      <c r="Q204" s="55"/>
      <c r="R204" s="32" t="s">
        <v>207</v>
      </c>
      <c r="S204" s="63">
        <v>30</v>
      </c>
      <c r="T204" s="28" t="s">
        <v>183</v>
      </c>
      <c r="U204" s="62"/>
      <c r="V204" s="44"/>
      <c r="W204" s="55"/>
      <c r="X204" s="4"/>
    </row>
    <row r="205" spans="2:24" s="1" customFormat="1" ht="16.5" customHeight="1" x14ac:dyDescent="0.3">
      <c r="B205" s="1" t="s">
        <v>480</v>
      </c>
      <c r="C205" s="21"/>
      <c r="D205" s="48">
        <v>181</v>
      </c>
      <c r="E205" s="31" t="s">
        <v>384</v>
      </c>
      <c r="F205" s="55"/>
      <c r="G205" s="32" t="s">
        <v>457</v>
      </c>
      <c r="H205" s="63">
        <v>1</v>
      </c>
      <c r="I205" s="28" t="s">
        <v>183</v>
      </c>
      <c r="J205" s="62"/>
      <c r="K205" s="44"/>
      <c r="L205" s="57"/>
      <c r="M205" s="57" t="s">
        <v>507</v>
      </c>
      <c r="N205" s="26"/>
      <c r="O205" s="48">
        <v>181</v>
      </c>
      <c r="P205" s="31" t="s">
        <v>384</v>
      </c>
      <c r="Q205" s="55"/>
      <c r="R205" s="32" t="s">
        <v>207</v>
      </c>
      <c r="S205" s="63">
        <v>1</v>
      </c>
      <c r="T205" s="28" t="s">
        <v>183</v>
      </c>
      <c r="U205" s="62"/>
      <c r="V205" s="44"/>
      <c r="W205" s="55"/>
      <c r="X205" s="4"/>
    </row>
    <row r="206" spans="2:24" s="1" customFormat="1" ht="16.5" customHeight="1" x14ac:dyDescent="0.3">
      <c r="B206" s="1" t="s">
        <v>480</v>
      </c>
      <c r="C206" s="21"/>
      <c r="D206" s="48">
        <v>182</v>
      </c>
      <c r="E206" s="31" t="s">
        <v>385</v>
      </c>
      <c r="F206" s="55"/>
      <c r="G206" s="32" t="s">
        <v>457</v>
      </c>
      <c r="H206" s="63">
        <v>1</v>
      </c>
      <c r="I206" s="28" t="s">
        <v>183</v>
      </c>
      <c r="J206" s="62"/>
      <c r="K206" s="44"/>
      <c r="L206" s="57"/>
      <c r="M206" s="57" t="s">
        <v>507</v>
      </c>
      <c r="N206" s="26"/>
      <c r="O206" s="48">
        <v>182</v>
      </c>
      <c r="P206" s="31" t="s">
        <v>385</v>
      </c>
      <c r="Q206" s="55"/>
      <c r="R206" s="32" t="s">
        <v>207</v>
      </c>
      <c r="S206" s="63">
        <v>1</v>
      </c>
      <c r="T206" s="28" t="s">
        <v>183</v>
      </c>
      <c r="U206" s="62"/>
      <c r="V206" s="44"/>
      <c r="W206" s="55"/>
      <c r="X206" s="4"/>
    </row>
    <row r="207" spans="2:24" s="1" customFormat="1" ht="16.5" customHeight="1" x14ac:dyDescent="0.3">
      <c r="B207" s="1" t="s">
        <v>480</v>
      </c>
      <c r="C207" s="21"/>
      <c r="D207" s="48">
        <v>183</v>
      </c>
      <c r="E207" s="31" t="s">
        <v>386</v>
      </c>
      <c r="F207" s="55"/>
      <c r="G207" s="32" t="s">
        <v>457</v>
      </c>
      <c r="H207" s="63">
        <v>30</v>
      </c>
      <c r="I207" s="28" t="s">
        <v>183</v>
      </c>
      <c r="J207" s="62"/>
      <c r="K207" s="44"/>
      <c r="L207" s="57"/>
      <c r="M207" s="57" t="s">
        <v>507</v>
      </c>
      <c r="N207" s="26"/>
      <c r="O207" s="48">
        <v>183</v>
      </c>
      <c r="P207" s="31" t="s">
        <v>386</v>
      </c>
      <c r="Q207" s="55"/>
      <c r="R207" s="32" t="s">
        <v>207</v>
      </c>
      <c r="S207" s="63">
        <v>30</v>
      </c>
      <c r="T207" s="28" t="s">
        <v>183</v>
      </c>
      <c r="U207" s="62"/>
      <c r="V207" s="44"/>
      <c r="W207" s="55"/>
      <c r="X207" s="4"/>
    </row>
    <row r="208" spans="2:24" s="1" customFormat="1" ht="16.5" customHeight="1" x14ac:dyDescent="0.3">
      <c r="B208" s="1" t="s">
        <v>480</v>
      </c>
      <c r="C208" s="21"/>
      <c r="D208" s="48">
        <v>184</v>
      </c>
      <c r="E208" s="31" t="s">
        <v>387</v>
      </c>
      <c r="F208" s="55"/>
      <c r="G208" s="32" t="s">
        <v>457</v>
      </c>
      <c r="H208" s="63">
        <v>30</v>
      </c>
      <c r="I208" s="28" t="s">
        <v>183</v>
      </c>
      <c r="J208" s="62"/>
      <c r="K208" s="44"/>
      <c r="L208" s="57"/>
      <c r="M208" s="57" t="s">
        <v>507</v>
      </c>
      <c r="N208" s="26"/>
      <c r="O208" s="48">
        <v>184</v>
      </c>
      <c r="P208" s="31" t="s">
        <v>387</v>
      </c>
      <c r="Q208" s="55"/>
      <c r="R208" s="32" t="s">
        <v>207</v>
      </c>
      <c r="S208" s="63">
        <v>30</v>
      </c>
      <c r="T208" s="28" t="s">
        <v>183</v>
      </c>
      <c r="U208" s="62"/>
      <c r="V208" s="44"/>
      <c r="W208" s="55"/>
      <c r="X208" s="4"/>
    </row>
    <row r="209" spans="2:24" s="1" customFormat="1" ht="16.5" customHeight="1" x14ac:dyDescent="0.3">
      <c r="B209" s="1" t="s">
        <v>480</v>
      </c>
      <c r="C209" s="21"/>
      <c r="D209" s="48">
        <v>185</v>
      </c>
      <c r="E209" s="31" t="s">
        <v>388</v>
      </c>
      <c r="F209" s="55"/>
      <c r="G209" s="32" t="s">
        <v>457</v>
      </c>
      <c r="H209" s="63">
        <v>1</v>
      </c>
      <c r="I209" s="28" t="s">
        <v>183</v>
      </c>
      <c r="J209" s="62"/>
      <c r="K209" s="44"/>
      <c r="L209" s="57"/>
      <c r="M209" s="57" t="s">
        <v>507</v>
      </c>
      <c r="N209" s="26"/>
      <c r="O209" s="48">
        <v>185</v>
      </c>
      <c r="P209" s="31" t="s">
        <v>388</v>
      </c>
      <c r="Q209" s="55"/>
      <c r="R209" s="32" t="s">
        <v>207</v>
      </c>
      <c r="S209" s="63">
        <v>1</v>
      </c>
      <c r="T209" s="28" t="s">
        <v>183</v>
      </c>
      <c r="U209" s="62"/>
      <c r="V209" s="44"/>
      <c r="W209" s="55"/>
      <c r="X209" s="4"/>
    </row>
    <row r="210" spans="2:24" s="1" customFormat="1" ht="16.5" customHeight="1" x14ac:dyDescent="0.3">
      <c r="B210" s="1" t="s">
        <v>480</v>
      </c>
      <c r="C210" s="21"/>
      <c r="D210" s="48">
        <v>186</v>
      </c>
      <c r="E210" s="31" t="s">
        <v>389</v>
      </c>
      <c r="F210" s="55"/>
      <c r="G210" s="32" t="s">
        <v>457</v>
      </c>
      <c r="H210" s="63">
        <v>1</v>
      </c>
      <c r="I210" s="28" t="s">
        <v>183</v>
      </c>
      <c r="J210" s="62"/>
      <c r="K210" s="44"/>
      <c r="L210" s="57"/>
      <c r="M210" s="57" t="s">
        <v>507</v>
      </c>
      <c r="N210" s="26"/>
      <c r="O210" s="48">
        <v>186</v>
      </c>
      <c r="P210" s="31" t="s">
        <v>389</v>
      </c>
      <c r="Q210" s="55"/>
      <c r="R210" s="32" t="s">
        <v>207</v>
      </c>
      <c r="S210" s="63">
        <v>1</v>
      </c>
      <c r="T210" s="28" t="s">
        <v>183</v>
      </c>
      <c r="U210" s="62"/>
      <c r="V210" s="44"/>
      <c r="W210" s="55"/>
      <c r="X210" s="4"/>
    </row>
    <row r="211" spans="2:24" s="1" customFormat="1" ht="16.5" customHeight="1" x14ac:dyDescent="0.3">
      <c r="B211" s="1" t="s">
        <v>480</v>
      </c>
      <c r="C211" s="21"/>
      <c r="D211" s="48">
        <v>187</v>
      </c>
      <c r="E211" s="31" t="s">
        <v>390</v>
      </c>
      <c r="F211" s="55"/>
      <c r="G211" s="32" t="s">
        <v>457</v>
      </c>
      <c r="H211" s="63">
        <v>1</v>
      </c>
      <c r="I211" s="28" t="s">
        <v>183</v>
      </c>
      <c r="J211" s="62"/>
      <c r="K211" s="44"/>
      <c r="L211" s="57"/>
      <c r="M211" s="57" t="s">
        <v>507</v>
      </c>
      <c r="N211" s="26"/>
      <c r="O211" s="48">
        <v>187</v>
      </c>
      <c r="P211" s="31" t="s">
        <v>390</v>
      </c>
      <c r="Q211" s="55"/>
      <c r="R211" s="32" t="s">
        <v>207</v>
      </c>
      <c r="S211" s="63">
        <v>1</v>
      </c>
      <c r="T211" s="28" t="s">
        <v>183</v>
      </c>
      <c r="U211" s="62"/>
      <c r="V211" s="44"/>
      <c r="W211" s="55"/>
      <c r="X211" s="4"/>
    </row>
    <row r="212" spans="2:24" s="1" customFormat="1" ht="16.5" customHeight="1" x14ac:dyDescent="0.3">
      <c r="B212" s="1" t="s">
        <v>480</v>
      </c>
      <c r="C212" s="21"/>
      <c r="D212" s="48">
        <v>188</v>
      </c>
      <c r="E212" s="31" t="s">
        <v>391</v>
      </c>
      <c r="F212" s="55"/>
      <c r="G212" s="32" t="s">
        <v>473</v>
      </c>
      <c r="H212" s="63" t="s">
        <v>472</v>
      </c>
      <c r="I212" s="28" t="s">
        <v>183</v>
      </c>
      <c r="J212" s="62"/>
      <c r="K212" s="44"/>
      <c r="L212" s="57"/>
      <c r="M212" s="57" t="s">
        <v>507</v>
      </c>
      <c r="N212" s="26"/>
      <c r="O212" s="48">
        <v>188</v>
      </c>
      <c r="P212" s="31" t="s">
        <v>391</v>
      </c>
      <c r="Q212" s="55"/>
      <c r="R212" s="32" t="s">
        <v>201</v>
      </c>
      <c r="S212" s="63"/>
      <c r="T212" s="28" t="s">
        <v>183</v>
      </c>
      <c r="U212" s="62"/>
      <c r="V212" s="44"/>
      <c r="W212" s="55"/>
      <c r="X212" s="4"/>
    </row>
    <row r="213" spans="2:24" s="1" customFormat="1" ht="16.5" customHeight="1" x14ac:dyDescent="0.3">
      <c r="B213" s="1" t="s">
        <v>480</v>
      </c>
      <c r="C213" s="21"/>
      <c r="D213" s="48">
        <v>189</v>
      </c>
      <c r="E213" s="31" t="s">
        <v>392</v>
      </c>
      <c r="F213" s="55"/>
      <c r="G213" s="32" t="s">
        <v>473</v>
      </c>
      <c r="H213" s="63" t="s">
        <v>472</v>
      </c>
      <c r="I213" s="28" t="s">
        <v>183</v>
      </c>
      <c r="J213" s="62"/>
      <c r="K213" s="44"/>
      <c r="L213" s="57"/>
      <c r="M213" s="57" t="s">
        <v>507</v>
      </c>
      <c r="N213" s="26"/>
      <c r="O213" s="48">
        <v>189</v>
      </c>
      <c r="P213" s="31" t="s">
        <v>392</v>
      </c>
      <c r="Q213" s="55"/>
      <c r="R213" s="32" t="s">
        <v>201</v>
      </c>
      <c r="S213" s="63"/>
      <c r="T213" s="28" t="s">
        <v>183</v>
      </c>
      <c r="U213" s="62"/>
      <c r="V213" s="44"/>
      <c r="W213" s="55"/>
      <c r="X213" s="4"/>
    </row>
    <row r="214" spans="2:24" s="1" customFormat="1" ht="16.5" customHeight="1" x14ac:dyDescent="0.3">
      <c r="B214" s="1" t="s">
        <v>480</v>
      </c>
      <c r="C214" s="21"/>
      <c r="D214" s="48">
        <v>190</v>
      </c>
      <c r="E214" s="31" t="s">
        <v>393</v>
      </c>
      <c r="F214" s="55"/>
      <c r="G214" s="32" t="s">
        <v>457</v>
      </c>
      <c r="H214" s="63">
        <v>30</v>
      </c>
      <c r="I214" s="28" t="s">
        <v>183</v>
      </c>
      <c r="J214" s="62"/>
      <c r="K214" s="44"/>
      <c r="L214" s="57"/>
      <c r="M214" s="57" t="s">
        <v>507</v>
      </c>
      <c r="N214" s="26"/>
      <c r="O214" s="48">
        <v>190</v>
      </c>
      <c r="P214" s="31" t="s">
        <v>393</v>
      </c>
      <c r="Q214" s="55"/>
      <c r="R214" s="32" t="s">
        <v>207</v>
      </c>
      <c r="S214" s="63">
        <v>30</v>
      </c>
      <c r="T214" s="28" t="s">
        <v>183</v>
      </c>
      <c r="U214" s="62"/>
      <c r="V214" s="44"/>
      <c r="W214" s="55"/>
      <c r="X214" s="4"/>
    </row>
    <row r="215" spans="2:24" s="1" customFormat="1" ht="16.5" customHeight="1" x14ac:dyDescent="0.3">
      <c r="B215" s="1" t="s">
        <v>480</v>
      </c>
      <c r="C215" s="21"/>
      <c r="D215" s="48">
        <v>191</v>
      </c>
      <c r="E215" s="31" t="s">
        <v>394</v>
      </c>
      <c r="F215" s="55"/>
      <c r="G215" s="32" t="s">
        <v>457</v>
      </c>
      <c r="H215" s="63">
        <v>30</v>
      </c>
      <c r="I215" s="28" t="s">
        <v>183</v>
      </c>
      <c r="J215" s="62"/>
      <c r="K215" s="44"/>
      <c r="L215" s="57"/>
      <c r="M215" s="57" t="s">
        <v>507</v>
      </c>
      <c r="N215" s="26"/>
      <c r="O215" s="48">
        <v>191</v>
      </c>
      <c r="P215" s="31" t="s">
        <v>394</v>
      </c>
      <c r="Q215" s="55"/>
      <c r="R215" s="32" t="s">
        <v>207</v>
      </c>
      <c r="S215" s="63">
        <v>30</v>
      </c>
      <c r="T215" s="28" t="s">
        <v>183</v>
      </c>
      <c r="U215" s="62"/>
      <c r="V215" s="44"/>
      <c r="W215" s="55"/>
      <c r="X215" s="4"/>
    </row>
    <row r="216" spans="2:24" s="1" customFormat="1" ht="16.5" customHeight="1" x14ac:dyDescent="0.3">
      <c r="B216" s="1" t="s">
        <v>480</v>
      </c>
      <c r="C216" s="21"/>
      <c r="D216" s="48">
        <v>192</v>
      </c>
      <c r="E216" t="s">
        <v>208</v>
      </c>
      <c r="F216" s="59"/>
      <c r="G216" s="32" t="s">
        <v>457</v>
      </c>
      <c r="H216" s="64">
        <v>1</v>
      </c>
      <c r="I216" s="60"/>
      <c r="J216" s="61" t="s">
        <v>209</v>
      </c>
      <c r="K216" s="56"/>
      <c r="L216" s="57"/>
      <c r="M216" s="57"/>
      <c r="N216" s="26"/>
      <c r="O216" s="55"/>
      <c r="P216" s="31"/>
      <c r="Q216" s="55"/>
      <c r="R216" s="32"/>
      <c r="S216" s="29"/>
      <c r="T216" s="28"/>
      <c r="U216" s="56"/>
      <c r="V216" s="58"/>
      <c r="W216" s="55"/>
      <c r="X216" s="4"/>
    </row>
    <row r="217" spans="2:24" s="1" customFormat="1" ht="16.5" customHeight="1" x14ac:dyDescent="0.3">
      <c r="B217" s="1" t="s">
        <v>480</v>
      </c>
      <c r="C217" s="21"/>
      <c r="D217" s="48">
        <v>193</v>
      </c>
      <c r="E217" s="4" t="s">
        <v>210</v>
      </c>
      <c r="F217" s="4"/>
      <c r="G217" s="32" t="s">
        <v>457</v>
      </c>
      <c r="H217" s="65">
        <v>36</v>
      </c>
      <c r="I217" s="60"/>
      <c r="J217" s="61" t="s">
        <v>211</v>
      </c>
      <c r="K217" s="56"/>
      <c r="L217" s="57"/>
      <c r="M217" s="57"/>
      <c r="N217" s="26"/>
      <c r="O217" s="55"/>
      <c r="P217" s="31"/>
      <c r="Q217" s="55"/>
      <c r="R217" s="32"/>
      <c r="S217" s="29"/>
      <c r="T217" s="28"/>
      <c r="U217" s="56"/>
      <c r="V217" s="58"/>
      <c r="W217" s="55"/>
      <c r="X217" s="4"/>
    </row>
    <row r="218" spans="2:24" s="1" customFormat="1" ht="16.5" customHeight="1" x14ac:dyDescent="0.3">
      <c r="B218" s="1" t="s">
        <v>480</v>
      </c>
      <c r="C218" s="21"/>
      <c r="D218" s="48">
        <v>194</v>
      </c>
      <c r="E218" s="4" t="s">
        <v>212</v>
      </c>
      <c r="F218" s="4"/>
      <c r="G218" s="20" t="s">
        <v>470</v>
      </c>
      <c r="H218" s="65"/>
      <c r="I218" s="4"/>
      <c r="J218" s="61" t="s">
        <v>213</v>
      </c>
      <c r="K218" s="56"/>
      <c r="L218" s="57"/>
      <c r="M218" s="57"/>
      <c r="N218" s="26"/>
      <c r="O218" s="55"/>
      <c r="P218" s="31"/>
      <c r="Q218" s="55"/>
      <c r="R218" s="32"/>
      <c r="S218" s="29"/>
      <c r="T218" s="28"/>
      <c r="U218" s="56"/>
      <c r="V218" s="58"/>
      <c r="W218" s="55"/>
      <c r="X218" s="4"/>
    </row>
    <row r="219" spans="2:24" s="1" customFormat="1" ht="16.5" customHeight="1" x14ac:dyDescent="0.3">
      <c r="C219" s="21"/>
      <c r="D219" s="55"/>
      <c r="E219" s="31"/>
      <c r="F219" s="55"/>
      <c r="G219" s="32"/>
      <c r="H219" s="29"/>
      <c r="I219" s="28"/>
      <c r="J219" s="56"/>
      <c r="K219" s="56"/>
      <c r="L219" s="57"/>
      <c r="M219" s="57"/>
      <c r="N219" s="26"/>
      <c r="O219" s="55"/>
      <c r="P219" s="31"/>
      <c r="Q219" s="55"/>
      <c r="R219" s="32"/>
      <c r="S219" s="29"/>
      <c r="T219" s="28"/>
      <c r="U219" s="56"/>
      <c r="V219" s="58"/>
      <c r="W219" s="55"/>
      <c r="X219" s="4"/>
    </row>
    <row r="220" spans="2:24" s="1" customFormat="1" ht="16.5" customHeight="1" x14ac:dyDescent="0.3">
      <c r="B220" s="1" t="s">
        <v>506</v>
      </c>
      <c r="C220" s="73" t="s">
        <v>485</v>
      </c>
      <c r="D220" s="55">
        <v>1</v>
      </c>
      <c r="E220" s="31" t="s">
        <v>486</v>
      </c>
      <c r="F220" s="55"/>
      <c r="G220" s="32" t="s">
        <v>457</v>
      </c>
      <c r="H220" s="63">
        <v>50</v>
      </c>
      <c r="I220" s="28"/>
      <c r="J220" s="56" t="s">
        <v>487</v>
      </c>
      <c r="K220" s="56"/>
      <c r="L220" s="57"/>
      <c r="M220" s="57"/>
      <c r="N220" s="26"/>
      <c r="O220" s="55"/>
      <c r="P220" s="31"/>
      <c r="Q220" s="55"/>
      <c r="R220" s="32"/>
      <c r="S220" s="29"/>
      <c r="T220" s="28"/>
      <c r="U220" s="56"/>
      <c r="V220" s="58"/>
      <c r="W220" s="55"/>
      <c r="X220" s="4"/>
    </row>
    <row r="221" spans="2:24" s="1" customFormat="1" ht="16.5" customHeight="1" x14ac:dyDescent="0.3">
      <c r="B221" s="1" t="s">
        <v>506</v>
      </c>
      <c r="C221" s="21"/>
      <c r="D221" s="55">
        <v>2</v>
      </c>
      <c r="E221" s="31" t="s">
        <v>488</v>
      </c>
      <c r="F221" s="55"/>
      <c r="G221" s="32" t="s">
        <v>457</v>
      </c>
      <c r="H221" s="63">
        <v>250</v>
      </c>
      <c r="I221" s="28"/>
      <c r="J221" s="56" t="s">
        <v>489</v>
      </c>
      <c r="K221" s="56"/>
      <c r="L221" s="57"/>
      <c r="M221" s="57"/>
      <c r="N221" s="26"/>
      <c r="O221" s="55"/>
      <c r="P221" s="31"/>
      <c r="Q221" s="55"/>
      <c r="R221" s="32"/>
      <c r="S221" s="29"/>
      <c r="T221" s="28"/>
      <c r="U221" s="56"/>
      <c r="V221" s="58"/>
      <c r="W221" s="55"/>
      <c r="X221" s="4"/>
    </row>
    <row r="222" spans="2:24" s="1" customFormat="1" ht="16.5" customHeight="1" x14ac:dyDescent="0.3">
      <c r="B222" s="1" t="s">
        <v>506</v>
      </c>
      <c r="C222" s="21"/>
      <c r="D222" s="55">
        <v>3</v>
      </c>
      <c r="E222" s="31" t="s">
        <v>490</v>
      </c>
      <c r="F222" s="55"/>
      <c r="G222" s="32" t="s">
        <v>457</v>
      </c>
      <c r="H222" s="63">
        <v>250</v>
      </c>
      <c r="I222" s="28"/>
      <c r="J222" s="56" t="s">
        <v>491</v>
      </c>
      <c r="K222" s="56"/>
      <c r="L222" s="57"/>
      <c r="M222" s="57"/>
      <c r="N222" s="26"/>
      <c r="O222" s="55"/>
      <c r="P222" s="31"/>
      <c r="Q222" s="55"/>
      <c r="R222" s="32"/>
      <c r="S222" s="29"/>
      <c r="T222" s="28"/>
      <c r="U222" s="56"/>
      <c r="V222" s="58"/>
      <c r="W222" s="55"/>
      <c r="X222" s="4"/>
    </row>
    <row r="223" spans="2:24" s="1" customFormat="1" ht="16.5" customHeight="1" x14ac:dyDescent="0.3">
      <c r="B223" s="1" t="s">
        <v>506</v>
      </c>
      <c r="C223" s="21"/>
      <c r="D223" s="55">
        <v>4</v>
      </c>
      <c r="E223" s="31" t="s">
        <v>492</v>
      </c>
      <c r="F223" s="55"/>
      <c r="G223" s="32" t="s">
        <v>457</v>
      </c>
      <c r="H223" s="63">
        <v>250</v>
      </c>
      <c r="I223" s="28"/>
      <c r="J223" s="56" t="s">
        <v>493</v>
      </c>
      <c r="K223" s="56"/>
      <c r="L223" s="57"/>
      <c r="M223" s="57"/>
      <c r="N223" s="26"/>
      <c r="O223" s="55"/>
      <c r="P223" s="31"/>
      <c r="Q223" s="55"/>
      <c r="R223" s="32"/>
      <c r="S223" s="29"/>
      <c r="T223" s="28"/>
      <c r="U223" s="56"/>
      <c r="V223" s="58"/>
      <c r="W223" s="55"/>
      <c r="X223" s="4"/>
    </row>
    <row r="224" spans="2:24" s="1" customFormat="1" ht="16.5" customHeight="1" x14ac:dyDescent="0.3">
      <c r="B224" s="1" t="s">
        <v>506</v>
      </c>
      <c r="C224" s="21"/>
      <c r="D224" s="55">
        <v>5</v>
      </c>
      <c r="E224" s="31" t="s">
        <v>494</v>
      </c>
      <c r="F224" s="55"/>
      <c r="G224" s="32" t="s">
        <v>457</v>
      </c>
      <c r="H224" s="63">
        <v>250</v>
      </c>
      <c r="I224" s="28"/>
      <c r="J224" s="56" t="s">
        <v>495</v>
      </c>
      <c r="K224" s="56"/>
      <c r="L224" s="57"/>
      <c r="M224" s="57"/>
      <c r="N224" s="26"/>
      <c r="O224" s="55"/>
      <c r="P224" s="31"/>
      <c r="Q224" s="55"/>
      <c r="R224" s="32"/>
      <c r="S224" s="29"/>
      <c r="T224" s="28"/>
      <c r="U224" s="56"/>
      <c r="V224" s="58"/>
      <c r="W224" s="55"/>
      <c r="X224" s="4"/>
    </row>
    <row r="225" spans="2:24" s="1" customFormat="1" ht="16.5" customHeight="1" x14ac:dyDescent="0.3">
      <c r="B225" s="1" t="s">
        <v>506</v>
      </c>
      <c r="C225" s="21"/>
      <c r="D225" s="55">
        <v>6</v>
      </c>
      <c r="E225" s="31" t="s">
        <v>496</v>
      </c>
      <c r="F225" s="55"/>
      <c r="G225" s="32" t="s">
        <v>457</v>
      </c>
      <c r="H225" s="63" t="s">
        <v>497</v>
      </c>
      <c r="I225" s="28"/>
      <c r="J225" s="56" t="s">
        <v>498</v>
      </c>
      <c r="K225" s="56"/>
      <c r="L225" s="57"/>
      <c r="M225" s="57"/>
      <c r="N225" s="26"/>
      <c r="O225" s="55"/>
      <c r="P225" s="31"/>
      <c r="Q225" s="55"/>
      <c r="R225" s="32"/>
      <c r="S225" s="29"/>
      <c r="T225" s="28"/>
      <c r="U225" s="56"/>
      <c r="V225" s="58"/>
      <c r="W225" s="55"/>
      <c r="X225" s="4"/>
    </row>
    <row r="226" spans="2:24" s="1" customFormat="1" ht="16.5" customHeight="1" x14ac:dyDescent="0.3">
      <c r="B226" s="1" t="s">
        <v>506</v>
      </c>
      <c r="C226" s="21"/>
      <c r="D226" s="55">
        <v>7</v>
      </c>
      <c r="E226" s="31" t="s">
        <v>499</v>
      </c>
      <c r="F226" s="55"/>
      <c r="G226" s="32" t="s">
        <v>457</v>
      </c>
      <c r="H226" s="29">
        <v>100</v>
      </c>
      <c r="I226" s="28"/>
      <c r="J226" s="74" t="s">
        <v>500</v>
      </c>
      <c r="K226" s="56"/>
      <c r="L226" s="57"/>
      <c r="M226" s="57"/>
      <c r="N226" s="26"/>
      <c r="O226" s="55"/>
      <c r="P226" s="31"/>
      <c r="Q226" s="55"/>
      <c r="R226" s="32"/>
      <c r="S226" s="29"/>
      <c r="T226" s="28"/>
      <c r="U226" s="56"/>
      <c r="V226" s="58"/>
      <c r="W226" s="55"/>
      <c r="X226" s="4"/>
    </row>
    <row r="227" spans="2:24" s="1" customFormat="1" ht="16.5" customHeight="1" x14ac:dyDescent="0.3">
      <c r="B227" s="1" t="s">
        <v>506</v>
      </c>
      <c r="C227" s="21"/>
      <c r="D227" s="55">
        <v>8</v>
      </c>
      <c r="E227" s="31" t="s">
        <v>501</v>
      </c>
      <c r="F227" s="55"/>
      <c r="G227" s="32" t="s">
        <v>457</v>
      </c>
      <c r="H227" s="29">
        <v>250</v>
      </c>
      <c r="I227" s="28"/>
      <c r="J227" s="74" t="s">
        <v>502</v>
      </c>
      <c r="K227" s="44"/>
      <c r="L227" s="25"/>
      <c r="M227" s="57"/>
      <c r="N227" s="26"/>
      <c r="O227" s="48"/>
      <c r="P227" s="31"/>
      <c r="Q227" s="48"/>
      <c r="R227" s="32"/>
      <c r="S227" s="29"/>
      <c r="T227" s="28"/>
      <c r="U227" s="44"/>
      <c r="V227" s="49"/>
      <c r="W227" s="48"/>
      <c r="X227" s="4"/>
    </row>
    <row r="228" spans="2:24" s="1" customFormat="1" ht="16.5" customHeight="1" x14ac:dyDescent="0.3">
      <c r="B228" s="1" t="s">
        <v>506</v>
      </c>
      <c r="C228" s="21"/>
      <c r="D228" s="55">
        <v>9</v>
      </c>
      <c r="E228" s="31" t="s">
        <v>503</v>
      </c>
      <c r="F228" s="55"/>
      <c r="G228" s="32" t="s">
        <v>457</v>
      </c>
      <c r="H228" s="29">
        <v>250</v>
      </c>
      <c r="I228" s="28"/>
      <c r="J228" s="74" t="s">
        <v>504</v>
      </c>
      <c r="K228" s="44"/>
      <c r="L228" s="25"/>
      <c r="M228" s="57"/>
      <c r="N228" s="26"/>
      <c r="O228" s="48"/>
      <c r="P228" s="31"/>
      <c r="Q228" s="48"/>
      <c r="R228" s="32"/>
      <c r="S228" s="44"/>
      <c r="T228" s="43"/>
      <c r="U228" s="33"/>
      <c r="V228" s="49"/>
      <c r="W228" s="48"/>
      <c r="X228" s="4"/>
    </row>
    <row r="229" spans="2:24" s="1" customFormat="1" ht="16.5" customHeight="1" x14ac:dyDescent="0.3">
      <c r="C229" s="21"/>
      <c r="D229" s="43"/>
      <c r="E229" s="44"/>
      <c r="F229" s="43"/>
      <c r="G229" s="44"/>
      <c r="H229" s="44"/>
      <c r="I229" s="43"/>
      <c r="J229" s="5"/>
      <c r="K229" s="44"/>
      <c r="L229" s="25"/>
      <c r="M229" s="57"/>
      <c r="N229" s="26"/>
      <c r="O229" s="48"/>
      <c r="P229" s="44"/>
      <c r="Q229" s="48"/>
      <c r="R229" s="49"/>
      <c r="S229" s="49"/>
      <c r="T229" s="43"/>
      <c r="U229" s="44"/>
      <c r="V229" s="49"/>
      <c r="W229" s="48"/>
      <c r="X229" s="4"/>
    </row>
    <row r="230" spans="2:24" s="1" customFormat="1" x14ac:dyDescent="0.3">
      <c r="D230" s="6"/>
      <c r="G230" s="2"/>
      <c r="J230" s="7"/>
      <c r="L230" s="8"/>
      <c r="M230" s="8"/>
      <c r="O230" s="6"/>
      <c r="R230" s="2"/>
      <c r="U230" s="7"/>
      <c r="W230" s="8"/>
    </row>
    <row r="231" spans="2:24" ht="107.25" customHeight="1" x14ac:dyDescent="0.3">
      <c r="C231" s="17" t="s">
        <v>184</v>
      </c>
      <c r="D231" s="92" t="s">
        <v>484</v>
      </c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</row>
    <row r="233" spans="2:24" ht="78.75" customHeight="1" x14ac:dyDescent="0.3">
      <c r="C233" s="17" t="s">
        <v>476</v>
      </c>
      <c r="D233" s="91" t="s">
        <v>477</v>
      </c>
      <c r="E233" s="91"/>
      <c r="F233" s="91"/>
      <c r="G233" s="91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</row>
    <row r="235" spans="2:24" ht="409.5" customHeight="1" x14ac:dyDescent="0.3">
      <c r="C235" s="17" t="s">
        <v>508</v>
      </c>
      <c r="D235" s="91" t="s">
        <v>509</v>
      </c>
      <c r="E235" s="91"/>
      <c r="F235" s="91"/>
      <c r="G235" s="91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</row>
  </sheetData>
  <mergeCells count="49">
    <mergeCell ref="D235:X235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D233:X233"/>
    <mergeCell ref="D231:X231"/>
    <mergeCell ref="X23:X24"/>
    <mergeCell ref="C15:F15"/>
    <mergeCell ref="G15:L15"/>
    <mergeCell ref="N15:Q15"/>
    <mergeCell ref="R15:W15"/>
    <mergeCell ref="C16:L16"/>
    <mergeCell ref="N16:W16"/>
    <mergeCell ref="C23:L23"/>
    <mergeCell ref="N23:W23"/>
  </mergeCells>
  <phoneticPr fontId="2" type="noConversion"/>
  <dataValidations count="2">
    <dataValidation type="list" allowBlank="1" showInputMessage="1" showErrorMessage="1" sqref="I216:I217" xr:uid="{00000000-0002-0000-0200-000000000000}">
      <formula1>$O$3:$O$4</formula1>
    </dataValidation>
    <dataValidation type="list" allowBlank="1" showInputMessage="1" showErrorMessage="1" sqref="G11:M11" xr:uid="{00000000-0002-0000-0200-000001000000}">
      <formula1>$C$3:$C$228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2000000}">
          <x14:formula1>
            <xm:f>Code!$K$3:$K$5</xm:f>
          </x14:formula1>
          <xm:sqref>K4:M4</xm:sqref>
        </x14:dataValidation>
        <x14:dataValidation type="list" allowBlank="1" showInputMessage="1" showErrorMessage="1" xr:uid="{00000000-0002-0000-0200-000003000000}">
          <x14:formula1>
            <xm:f>Code!$M$3:$M$4</xm:f>
          </x14:formula1>
          <xm:sqref>I18:I21 T25:T229 I25:I215 T18:T21 I219 I229</xm:sqref>
        </x14:dataValidation>
        <x14:dataValidation type="list" allowBlank="1" showInputMessage="1" showErrorMessage="1" xr:uid="{00000000-0002-0000-0200-000004000000}">
          <x14:formula1>
            <xm:f>Code!$E$3:$E$6</xm:f>
          </x14:formula1>
          <xm:sqref>G15:M15 R15:W15</xm:sqref>
        </x14:dataValidation>
        <x14:dataValidation type="list" allowBlank="1" showInputMessage="1" showErrorMessage="1" xr:uid="{00000000-0002-0000-0200-000005000000}">
          <x14:formula1>
            <xm:f>Code!$B$3:$B$69</xm:f>
          </x14:formula1>
          <xm:sqref>R11:W11</xm:sqref>
        </x14:dataValidation>
        <x14:dataValidation type="list" allowBlank="1" showInputMessage="1" showErrorMessage="1" xr:uid="{00000000-0002-0000-0200-000006000000}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I220:I228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1d854a-f254-4daf-80ce-63258d59822f" xsi:nil="true"/>
    <lcf76f155ced4ddcb4097134ff3c332f xmlns="891591aa-373a-40b2-a43b-d6e0e0ab11b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D1377645CACA44B83A40295584B2EEB" ma:contentTypeVersion="8" ma:contentTypeDescription="새 문서를 만듭니다." ma:contentTypeScope="" ma:versionID="0fd424696b9f977e878658d69cbaa5e8">
  <xsd:schema xmlns:xsd="http://www.w3.org/2001/XMLSchema" xmlns:xs="http://www.w3.org/2001/XMLSchema" xmlns:p="http://schemas.microsoft.com/office/2006/metadata/properties" xmlns:ns2="891591aa-373a-40b2-a43b-d6e0e0ab11b3" xmlns:ns3="731d854a-f254-4daf-80ce-63258d59822f" targetNamespace="http://schemas.microsoft.com/office/2006/metadata/properties" ma:root="true" ma:fieldsID="2ec306ba4f036f70136dca2df44727b3" ns2:_="" ns3:_="">
    <xsd:import namespace="891591aa-373a-40b2-a43b-d6e0e0ab11b3"/>
    <xsd:import namespace="731d854a-f254-4daf-80ce-63258d598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591aa-373a-40b2-a43b-d6e0e0ab1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8ec5b3ba-0557-41d9-8f1c-c924ba384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d854a-f254-4daf-80ce-63258d5982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7489f76-7384-40f7-96ac-92fee051374b}" ma:internalName="TaxCatchAll" ma:showField="CatchAllData" ma:web="731d854a-f254-4daf-80ce-63258d598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322809-5178-442D-946B-96934989F1C3}">
  <ds:schemaRefs>
    <ds:schemaRef ds:uri="http://schemas.microsoft.com/office/2006/metadata/properties"/>
    <ds:schemaRef ds:uri="http://schemas.microsoft.com/office/infopath/2007/PartnerControls"/>
    <ds:schemaRef ds:uri="731d854a-f254-4daf-80ce-63258d59822f"/>
    <ds:schemaRef ds:uri="891591aa-373a-40b2-a43b-d6e0e0ab11b3"/>
  </ds:schemaRefs>
</ds:datastoreItem>
</file>

<file path=customXml/itemProps2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25D957-965F-436F-98F6-4F3648239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1591aa-373a-40b2-a43b-d6e0e0ab11b3"/>
    <ds:schemaRef ds:uri="731d854a-f254-4daf-80ce-63258d598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IF_SRD_DPS_ERP_0010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고웅 ((주)CSPI)</cp:lastModifiedBy>
  <dcterms:modified xsi:type="dcterms:W3CDTF">2022-09-03T06:46:14Z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0x0101002D1377645CACA44B83A40295584B2EEB</vt:lpwstr>
  </property>
  <property fmtid="{D5CDD505-2E9C-101B-9397-08002B2CF9AE}" pid="4" name="MediaServiceImageTags">
    <vt:lpwstr/>
  </property>
</Properties>
</file>