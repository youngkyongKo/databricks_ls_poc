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28800" windowHeight="12255" tabRatio="836" activeTab="2"/>
  </bookViews>
  <sheets>
    <sheet name="변경이력관리" sheetId="2" r:id="rId1"/>
    <sheet name="Code" sheetId="8" state="hidden" r:id="rId2"/>
    <sheet name="IF_SRD_DPS_ERP_0119" sheetId="5" r:id="rId3"/>
    <sheet name="Sheet1" sheetId="9" r:id="rId4"/>
  </sheets>
  <externalReferences>
    <externalReference r:id="rId5"/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9" l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1" i="9"/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89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Join 및 함수 사용으로 sql query 참조</t>
        </r>
      </text>
    </comment>
  </commentList>
</comments>
</file>

<file path=xl/sharedStrings.xml><?xml version="1.0" encoding="utf-8"?>
<sst xmlns="http://schemas.openxmlformats.org/spreadsheetml/2006/main" count="1090" uniqueCount="381">
  <si>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</si>
  <si>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</si>
  <si>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</si>
  <si>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</si>
  <si>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</si>
  <si>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</si>
  <si>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</si>
  <si>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</si>
  <si>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</si>
  <si>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</si>
  <si>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</si>
  <si>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</si>
  <si>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</si>
  <si>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</si>
  <si>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</si>
  <si>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</si>
  <si>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</si>
  <si>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</si>
  <si>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</si>
  <si>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</si>
  <si>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</si>
  <si>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</si>
  <si>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</si>
  <si>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</si>
  <si>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</si>
  <si>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</si>
  <si>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</si>
  <si>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</si>
  <si>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</si>
  <si>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</si>
  <si>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</si>
  <si>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</si>
  <si>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</si>
  <si>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</si>
  <si>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</si>
  <si>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</si>
  <si>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</si>
  <si>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</si>
  <si>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</si>
  <si>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</si>
  <si>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</si>
  <si>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</si>
  <si>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</si>
  <si>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</si>
  <si>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</si>
  <si>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</si>
  <si>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</si>
  <si>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</si>
  <si>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</si>
  <si>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</si>
  <si>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</si>
  <si>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</si>
  <si>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</si>
  <si>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</si>
  <si>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</si>
  <si>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</si>
  <si>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</si>
  <si>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</si>
  <si>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</si>
  <si>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</si>
  <si>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</si>
  <si>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</si>
  <si>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</si>
  <si>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</si>
  <si>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</si>
  <si>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</si>
  <si>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</si>
  <si>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</si>
  <si>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</si>
  <si>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</si>
  <si>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</si>
  <si>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</si>
  <si>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</si>
  <si>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</si>
  <si>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</si>
  <si>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</si>
  <si>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</si>
  <si>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</si>
  <si>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</si>
  <si>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</si>
  <si>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</si>
  <si>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</si>
  <si>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</si>
  <si>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</si>
  <si>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</si>
  <si>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</si>
  <si>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</si>
  <si>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</si>
  <si>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</si>
  <si>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</si>
  <si>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</si>
  <si>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</si>
  <si>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</si>
  <si>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</si>
  <si>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</si>
  <si>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</si>
  <si>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</si>
  <si>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</si>
  <si>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</si>
  <si>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</si>
  <si>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</si>
  <si>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</si>
  <si>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</si>
  <si>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</si>
  <si>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</si>
  <si>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</si>
  <si>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</si>
  <si>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</si>
  <si>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</si>
  <si>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</si>
  <si>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</si>
  <si>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</si>
  <si>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</si>
  <si>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</si>
  <si>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</si>
  <si>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</si>
  <si>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</si>
  <si>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</si>
  <si>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</si>
  <si>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</si>
  <si>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</si>
  <si>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</si>
  <si>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</si>
  <si>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</si>
  <si>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</si>
  <si>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</si>
  <si>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</si>
  <si>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</si>
  <si>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</si>
  <si>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</si>
  <si>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</si>
  <si>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</si>
  <si>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</si>
  <si>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</si>
  <si>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</si>
  <si>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</si>
  <si>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</si>
  <si>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</si>
  <si>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</si>
  <si>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</si>
  <si>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</si>
  <si>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</si>
  <si>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</si>
  <si>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</si>
  <si>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</si>
  <si>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</si>
  <si>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</si>
  <si>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</si>
  <si>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</si>
  <si>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</si>
  <si>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</si>
  <si>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</si>
  <si>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</si>
  <si>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</si>
  <si>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</si>
  <si>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</si>
  <si>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</si>
  <si>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BOM 월별 구매 자재소요량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</si>
  <si>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</si>
  <si>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</si>
  <si>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</si>
  <si>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</si>
  <si>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</si>
  <si>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</si>
  <si>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</si>
  <si>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</si>
  <si>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</si>
  <si>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</si>
  <si>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</si>
  <si>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</si>
  <si>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</si>
  <si>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월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</si>
  <si>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</si>
  <si>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</si>
  <si>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</si>
  <si>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</si>
  <si>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</si>
  <si>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</si>
  <si>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</si>
  <si>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</si>
  <si>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</si>
  <si>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</si>
  <si>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EBOM_MTL_USED_QTY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</si>
  <si>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</si>
  <si>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</si>
  <si>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</si>
  <si>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</si>
  <si>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</si>
  <si>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</si>
  <si>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</si>
  <si>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</si>
  <si>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</si>
  <si>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</si>
  <si>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</si>
  <si>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</si>
  <si>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From 연월</t>
    <phoneticPr fontId="2" type="noConversion"/>
  </si>
  <si>
    <t>YYYY</t>
    <phoneticPr fontId="2" type="noConversion"/>
  </si>
  <si>
    <t>YYYYMM</t>
    <phoneticPr fontId="2" type="noConversion"/>
  </si>
  <si>
    <t>VARCHAR2</t>
    <phoneticPr fontId="2" type="noConversion"/>
  </si>
  <si>
    <t>연월</t>
    <phoneticPr fontId="2" type="noConversion"/>
  </si>
  <si>
    <t>TO_YYYYMM</t>
    <phoneticPr fontId="2" type="noConversion"/>
  </si>
  <si>
    <t>To 연월</t>
    <phoneticPr fontId="2" type="noConversion"/>
  </si>
  <si>
    <t>Field</t>
    <phoneticPr fontId="2" type="noConversion"/>
  </si>
  <si>
    <t>YYYYMM</t>
  </si>
  <si>
    <t>Y</t>
  </si>
  <si>
    <t>NVARCHAR</t>
  </si>
  <si>
    <t>6</t>
  </si>
  <si>
    <t>VARCHAR2</t>
  </si>
  <si>
    <t>ORG_ID</t>
  </si>
  <si>
    <t>FLOAT</t>
  </si>
  <si>
    <t/>
  </si>
  <si>
    <t>법인 ID</t>
    <phoneticPr fontId="2" type="noConversion"/>
  </si>
  <si>
    <t>NUMBER</t>
  </si>
  <si>
    <t>ORGANIZATION_ID</t>
  </si>
  <si>
    <t>사업장 ID</t>
    <phoneticPr fontId="2" type="noConversion"/>
  </si>
  <si>
    <t>ITEM_ID</t>
  </si>
  <si>
    <t>품목 ID</t>
    <phoneticPr fontId="2" type="noConversion"/>
  </si>
  <si>
    <t>RECEIPT_YYYYMM</t>
  </si>
  <si>
    <t>입고 연월</t>
    <phoneticPr fontId="2" type="noConversion"/>
  </si>
  <si>
    <t>PLAN_BPA</t>
  </si>
  <si>
    <t>30</t>
  </si>
  <si>
    <t>계획 BPA</t>
    <phoneticPr fontId="2" type="noConversion"/>
  </si>
  <si>
    <t>PLAN_CURRENCY</t>
  </si>
  <si>
    <t>10</t>
  </si>
  <si>
    <t>계획 통화</t>
    <phoneticPr fontId="2" type="noConversion"/>
  </si>
  <si>
    <t>PLAN_UNIT_PRICE</t>
  </si>
  <si>
    <t>계획 단가</t>
    <phoneticPr fontId="2" type="noConversion"/>
  </si>
  <si>
    <t>PLAN_AMOUNT</t>
  </si>
  <si>
    <t>계획 금액</t>
    <phoneticPr fontId="2" type="noConversion"/>
  </si>
  <si>
    <t>A.PLAN_UNIT_PRICE * APPS.EBOM_PLAN_CMN_PKG.GET_PLAN_CURRENCY_RATE(YYYYMM,A.PLAN_CURRENCY)</t>
  </si>
  <si>
    <t>BEFORE_BPA</t>
  </si>
  <si>
    <t>과거 BPA</t>
    <phoneticPr fontId="2" type="noConversion"/>
  </si>
  <si>
    <t>BEFORE_CURRENCY_CODE</t>
  </si>
  <si>
    <t>과거 통화</t>
    <phoneticPr fontId="2" type="noConversion"/>
  </si>
  <si>
    <t>DECODE(A.BEFORE_CURRENCY,'-1',A.PLAN_CURRENCY,A.BEFORE_CURRENCY)</t>
  </si>
  <si>
    <t>BEFORE_UNIT_PRICE</t>
  </si>
  <si>
    <t>과거 단가</t>
    <phoneticPr fontId="2" type="noConversion"/>
  </si>
  <si>
    <t>BEFORE_AMOUNT</t>
  </si>
  <si>
    <t>과거 금액</t>
    <phoneticPr fontId="2" type="noConversion"/>
  </si>
  <si>
    <t>A.BEFORE_UNIT_PRICE * APPS.EBOM_PLAN_CMN_PKG.GET_PLAN_CURRENCY_RATE(YYYYMM,DECODE(A.BEFORE_CURRENCY,'-1',A.PLAN_CURRENCY,A.BEFORE_CURRENCY))</t>
  </si>
  <si>
    <t>BPA</t>
  </si>
  <si>
    <t>BPA</t>
    <phoneticPr fontId="2" type="noConversion"/>
  </si>
  <si>
    <t>CURRENCY_CODE</t>
  </si>
  <si>
    <t>통화</t>
    <phoneticPr fontId="2" type="noConversion"/>
  </si>
  <si>
    <t>UNIT_PRICE</t>
  </si>
  <si>
    <t>단가</t>
    <phoneticPr fontId="2" type="noConversion"/>
  </si>
  <si>
    <t>EXCHANGE_AMOUNT</t>
  </si>
  <si>
    <t>통화 환산 금액</t>
    <phoneticPr fontId="2" type="noConversion"/>
  </si>
  <si>
    <t>A.UNIT_PRICE * APPS.EBOM_PLAN_CMN_PKG.GET_PLAN_CURRENCY_RATE(YYYYMM,A.CURRENCY_CODE)</t>
  </si>
  <si>
    <t>RECEIPT_QTY</t>
  </si>
  <si>
    <t>입고 수량</t>
    <phoneticPr fontId="2" type="noConversion"/>
  </si>
  <si>
    <t>USED_QTY</t>
  </si>
  <si>
    <t>사용 수량</t>
    <phoneticPr fontId="2" type="noConversion"/>
  </si>
  <si>
    <t>BUYER</t>
  </si>
  <si>
    <t>50</t>
  </si>
  <si>
    <t>구매자</t>
    <phoneticPr fontId="2" type="noConversion"/>
  </si>
  <si>
    <t>TEAM</t>
  </si>
  <si>
    <t>팀</t>
    <phoneticPr fontId="2" type="noConversion"/>
  </si>
  <si>
    <t>ALLC</t>
  </si>
  <si>
    <t>Allocation</t>
    <phoneticPr fontId="2" type="noConversion"/>
  </si>
  <si>
    <t>TRANSACTION_NATURE</t>
  </si>
  <si>
    <t>250</t>
  </si>
  <si>
    <t>재료비절감 화면에서 사용하는 BPA 생성 사유</t>
    <phoneticPr fontId="2" type="noConversion"/>
  </si>
  <si>
    <t>VENDOR</t>
  </si>
  <si>
    <t>Vendor</t>
    <phoneticPr fontId="2" type="noConversion"/>
  </si>
  <si>
    <t>BEFORE_VENDOR</t>
  </si>
  <si>
    <t>과거 Vendor</t>
    <phoneticPr fontId="2" type="noConversion"/>
  </si>
  <si>
    <t>END_ITEM_ID</t>
  </si>
  <si>
    <t>End 품목 ID</t>
    <phoneticPr fontId="2" type="noConversion"/>
  </si>
  <si>
    <t>CREATION_DATE</t>
  </si>
  <si>
    <t>DATETIME</t>
  </si>
  <si>
    <t>생성일</t>
    <phoneticPr fontId="2" type="noConversion"/>
  </si>
  <si>
    <t>DATE</t>
  </si>
  <si>
    <t>CREATED_BY</t>
  </si>
  <si>
    <t>생성자</t>
    <phoneticPr fontId="2" type="noConversion"/>
  </si>
  <si>
    <t>LAST_UPDATE_DATE</t>
  </si>
  <si>
    <t>수정일</t>
    <phoneticPr fontId="2" type="noConversion"/>
  </si>
  <si>
    <t>LAST_UPDATED_BY</t>
  </si>
  <si>
    <t>수정자</t>
    <phoneticPr fontId="2" type="noConversion"/>
  </si>
  <si>
    <t>ATTRIBUTE_CATEGORY</t>
  </si>
  <si>
    <t>속성값 카테고리</t>
    <phoneticPr fontId="2" type="noConversion"/>
  </si>
  <si>
    <t>ATTRIBUTE1</t>
  </si>
  <si>
    <t>150</t>
  </si>
  <si>
    <t>속성값1</t>
    <phoneticPr fontId="2" type="noConversion"/>
  </si>
  <si>
    <t>ATTRIBUTE2</t>
  </si>
  <si>
    <t>속성값2</t>
    <phoneticPr fontId="2" type="noConversion"/>
  </si>
  <si>
    <t>ATTRIBUTE3</t>
  </si>
  <si>
    <t>속성값3</t>
  </si>
  <si>
    <t>ATTRIBUTE4</t>
  </si>
  <si>
    <t>속성값4</t>
  </si>
  <si>
    <t>ATTRIBUTE5</t>
  </si>
  <si>
    <t>속성값5</t>
  </si>
  <si>
    <t>ATTRIBUTE6</t>
  </si>
  <si>
    <t>속성값6</t>
  </si>
  <si>
    <t>ATTRIBUTE7</t>
  </si>
  <si>
    <t>속성값7</t>
  </si>
  <si>
    <t>ATTRIBUTE8</t>
  </si>
  <si>
    <t>속성값8</t>
  </si>
  <si>
    <t>ATTRIBUTE9</t>
  </si>
  <si>
    <t>속성값9</t>
  </si>
  <si>
    <t>ATTRIBUTE10</t>
  </si>
  <si>
    <t>속성값10</t>
  </si>
  <si>
    <t>ATTRIBUTE11</t>
  </si>
  <si>
    <t>속성값11</t>
  </si>
  <si>
    <t>ATTRIBUTE12</t>
  </si>
  <si>
    <t>속성값12</t>
  </si>
  <si>
    <t>ATTRIBUTE13</t>
  </si>
  <si>
    <t>속성값13</t>
  </si>
  <si>
    <t>ATTRIBUTE14</t>
  </si>
  <si>
    <t>속성값14</t>
  </si>
  <si>
    <t>ATTRIBUTE15</t>
  </si>
  <si>
    <t>속성값15</t>
  </si>
  <si>
    <t>CURRENCY_DF</t>
  </si>
  <si>
    <t>통화 차이</t>
    <phoneticPr fontId="2" type="noConversion"/>
  </si>
  <si>
    <t>GROUP_BPA</t>
  </si>
  <si>
    <t>Group BPA</t>
    <phoneticPr fontId="2" type="noConversion"/>
  </si>
  <si>
    <t>SEQ_NO</t>
  </si>
  <si>
    <t>Sequence 번호</t>
    <phoneticPr fontId="2" type="noConversion"/>
  </si>
  <si>
    <t>GUBUN</t>
  </si>
  <si>
    <t>구분</t>
    <phoneticPr fontId="2" type="noConversion"/>
  </si>
  <si>
    <t>PROD_GUBUN</t>
  </si>
  <si>
    <t>제품 구분</t>
    <phoneticPr fontId="2" type="noConversion"/>
  </si>
  <si>
    <t>DECODE(A.GUBUN,'SHIP',2,NVL(APPS.EBOM_PLAN_CMN_PKG.GET_PLAN_MAKE_BUY(A.END_ITEM_ID,A.ORGANIZATION_ID,A.YYYYMM),DECODE(B.PLANNING_MAKE_BUY_CODE,1,0,2)))</t>
  </si>
  <si>
    <t>BPA_COMMENTS</t>
  </si>
  <si>
    <t>240</t>
  </si>
  <si>
    <t>BPA 의견</t>
    <phoneticPr fontId="2" type="noConversion"/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</si>
  <si>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</si>
  <si>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</si>
  <si>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</si>
  <si>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</si>
  <si>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</si>
  <si>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</si>
  <si>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</si>
  <si>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</si>
  <si>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</si>
  <si>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</si>
  <si>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</si>
  <si>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</si>
  <si>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</si>
  <si>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</si>
  <si>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</si>
  <si>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</si>
  <si>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</si>
  <si>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</si>
  <si>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</si>
  <si>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</si>
  <si>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</si>
  <si>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</si>
  <si>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</si>
  <si>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</si>
  <si>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</si>
  <si>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</si>
  <si>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</si>
  <si>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IF_SRD_DPS_ERP_0119</t>
    <phoneticPr fontId="2" type="noConversion"/>
  </si>
  <si>
    <t>EBOM_MTL_USED_QTY</t>
    <phoneticPr fontId="2" type="noConversion"/>
  </si>
  <si>
    <t>SELECT    A.YYYYMM
     ,    A.ORG_ID
     ,    A.ORGANIZATION_ID
     ,    A.ITEM_ID
     ,    A.RECEIPT_YYYYMM
     ,    A.PLAN_BPA
     ,    A.PLAN_CURRENCY
     ,    A.PLAN_UNIT_PRICE
     ,    A.PLAN_UNIT_PRICE * APPS.EBOM_PLAN_CMN_PKG.GET_PLAN_CURRENCY_RATE(YYYYMM,A.PLAN_CURRENCY) PLAN_AMOUNT
     ,    A.BEFORE_BPA
     ,    DECODE(A.BEFORE_CURRENCY,'-1',A.PLAN_CURRENCY,A.BEFORE_CURRENCY) CURRENCY_CODE
     ,    A.BEFORE_UNIT_PRICE
     ,    A.BEFORE_UNIT_PRICE * APPS.EBOM_PLAN_CMN_PKG.GET_PLAN_CURRENCY_RATE(YYYYMM,DECODE(A.BEFORE_CURRENCY,'-1',A.PLAN_CURRENCY,A.BEFORE_CURRENCY)) BEFORE_AMOUNT
     ,    A.BPA
     ,    A.CURRENCY_CODE
     ,    A.UNIT_PRICE
     ,    A.UNIT_PRICE * APPS.EBOM_PLAN_CMN_PKG.GET_PLAN_CURRENCY_RATE(YYYYMM,A.CURRENCY_CODE) EXCHANGE_AMOUNT
     ,    A.RECEIPT_QTY
     ,    A.USED_QTY
     ,    A.BUYER
     ,    A.TEAM
     ,    A.ALLC
     ,    A.TRANSACTION_NATURE
     ,    A.VENDOR
     ,    A.BEFORE_VENDOR
     ,    A.END_ITEM_ID
     ,    A.CREATION_DATE
     ,    A.CREATED_BY
     ,    A.LAST_UPDATE_DATE
     ,    A.LAST_UPDATED_BY
     ,    A.ATTRIBUTE_CATEGORY
     ,    A.ATTRIBUTE1
     ,    A.ATTRIBUTE2
     ,    A.ATTRIBUTE3
     ,    A.ATTRIBUTE4
     ,    A.ATTRIBUTE5
     ,    A.ATTRIBUTE6
     ,    A.ATTRIBUTE7
     ,    A.ATTRIBUTE8
     ,    A.ATTRIBUTE9
     ,    A.ATTRIBUTE10
     ,    A.ATTRIBUTE11
     ,    A.ATTRIBUTE12
     ,    A.ATTRIBUTE13
     ,    A.ATTRIBUTE14
     ,    A.ATTRIBUTE15
     ,    A.CURRENCY_DF
     ,    A.GROUP_BPA
     ,    A.SEQ_NO
     ,    A.GUBUN
     ,    DECODE(A.GUBUN,'SHIP',2,NVL(APPS.EBOM_PLAN_CMN_PKG.GET_PLAN_MAKE_BUY(A.END_ITEM_ID,A.ORGANIZATION_ID,A.YYYYMM),DECODE(B.PLANNING_MAKE_BUY_CODE,1,0,2))) PROD_GUBUN
     ,    A.BPA_COMMENTS
  FROM    EBOM_MTL_USED_QTY A
     ,    MTL_SYSTEM_ITEMS_B     B
 WHERE    A.ORGANIZATION_ID = B.ORGANIZATION_ID
   AND    A.END_ITEM_ID = B.INVENTORY_ITEM_ID
   AND    A.YYYYMM &gt;= NVL(&amp;from_yyyymm,TO_CHAR(ADD_MONTHS(TRUNC(SYSDATE-1,'MM'),-1),'YYYYMM'))
   AND    A.YYYYMM &lt;= NVL(&amp;to_yyyymm,TO_CHAR(ADD_MONTHS(TRUNC(SYSDATE,'MM'),-1),'YYYYMM'))
   AND    A.ATTRIBUTE15 IS NULL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</si>
  <si>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</si>
  <si>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</si>
  <si>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</si>
  <si>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</si>
  <si>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</si>
  <si>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사용 쿼리)</t>
    <phoneticPr fontId="2" type="noConversion"/>
  </si>
  <si>
    <t xml:space="preserve">  SELECT    /* IF_SRD_DPS_ERP_0119 BOM 월별 구매 자재소요량 (EBOM_MTL_USED_QTY) */ 
          A.YYYYMM
     ,    TO_CHAR(A.ORG_ID) ORG_ID
     ,    TO_CHAR(A.ORGANIZATION_ID) ORGANIZATION_ID
     ,    TO_CHAR(A.ITEM_ID) ITEM_ID
     ,    A.RECEIPT_YYYYMM
     ,    A.PLAN_BPA
     ,    A.PLAN_CURRENCY
     ,    A.PLAN_UNIT_PRICE
     ,    TO_CHAR(A.PLAN_UNIT_PRICE * APPS.EBOM_PLAN_CMN_PKG.GET_PLAN_CURRENCY_RATE(YYYYMM,A.PLAN_CURRENCY)) PLAN_AMOUNT
     ,    A.BEFORE_BPA
     ,    DECODE(A.BEFORE_CURRENCY,'-1',A.PLAN_CURRENCY,A.BEFORE_CURRENCY) BEFORE_CURRENCY_CODE
     ,    TO_CHAR(A.BEFORE_UNIT_PRICE) BEFORE_UNIT_PRICE
     ,    TO_CHAR(A.BEFORE_UNIT_PRICE * APPS.EBOM_PLAN_CMN_PKG.GET_PLAN_CURRENCY_RATE(YYYYMM,DECODE(A.BEFORE_CURRENCY,'-1',A.PLAN_CURRENCY,A.BEFORE_CURRENCY))) BEFORE_AMOUNT
     ,    A.BPA
     ,    A.CURRENCY_CODE
     ,    TO_CHAR(A.UNIT_PRICE) UNIT_PRICE
     ,    TO_CHAR(A.UNIT_PRICE * APPS.EBOM_PLAN_CMN_PKG.GET_PLAN_CURRENCY_RATE(YYYYMM,A.CURRENCY_CODE)) EXCHANGE_AMOUNT
     ,    TO_CHAR(A.RECEIPT_QTY) RECEIPT_QTY
     ,    TO_CHAR(A.USED_QTY) USED_QTY
     ,    A.BUYER
     ,    A.TEAM
     ,    TO_CHAR(A.ALLC) ALLC
     ,    A.TRANSACTION_NATURE
     ,    A.VENDOR
     ,    A.BEFORE_VENDOR
     ,    TO_CHAR(A.END_ITEM_ID) END_ITEM_ID
     ,    A.CREATION_DATE
     ,    TO_CHAR(A.CREATED_BY) CREATED_BY
     ,    A.LAST_UPDATE_DATE
     ,    TO_CHAR(A.LAST_UPDATED_BY) LAST_UPDATED_BY
     ,    A.ATTRIBUTE_CATEGORY
     ,    A.ATTRIBUTE1
     ,    A.ATTRIBUTE2
     ,    A.ATTRIBUTE3
     ,    A.ATTRIBUTE4
     ,    A.ATTRIBUTE5
     ,    A.ATTRIBUTE6
     ,    A.ATTRIBUTE7
     ,    A.ATTRIBUTE8
     ,    A.ATTRIBUTE9
     ,    A.ATTRIBUTE10
     ,    A.ATTRIBUTE11
     ,    A.ATTRIBUTE12
     ,    A.ATTRIBUTE13
     ,    A.ATTRIBUTE14
     ,    A.ATTRIBUTE15
     ,    TO_CHAR(A.CURRENCY_DF) CURRENCY_DF
     ,    A.GROUP_BPA
     ,    TO_CHAR(A.SEQ_NO) SEQ_NO
     ,    A.GUBUN
     ,    TO_CHAR(DECODE(A.GUBUN,'SHIP',2,NVL(APPS.EBOM_PLAN_CMN_PKG.GET_PLAN_MAKE_BUY(A.END_ITEM_ID,A.ORGANIZATION_ID,A.YYYYMM),DECODE(B.PLANNING_MAKE_BUY_CODE,1,0,2)))) PROD_GUBUN
     ,    A.BPA_COMMENTS
  FROM    APPS.EBOM_MTL_USED_QTY A
     ,    APPS.MTL_SYSTEM_ITEMS_B     B
 WHERE    A.ORGANIZATION_ID = B.ORGANIZATION_ID
   AND    A.END_ITEM_ID = B.INVENTORY_ITEM_ID
   AND    A.YYYYMM &gt;= NVL(? ,TO_CHAR(ADD_MONTHS(TRUNC(SYSDATE-1,'MM'),-1),'YYYYMM'))
   AND    A.YYYYMM &lt;= NVL(? ,TO_CHAR(ADD_MONTHS(TRUNC(SYSDATE,'MM'),-1),'YYYYMM'))
   AND    A.ATTRIBUTE15 IS NULL</t>
    <phoneticPr fontId="2" type="noConversion"/>
  </si>
  <si>
    <t>2022.09.29</t>
    <phoneticPr fontId="2" type="noConversion"/>
  </si>
  <si>
    <t>정주성</t>
    <phoneticPr fontId="2" type="noConversion"/>
  </si>
  <si>
    <t>EAI 쿼리추가</t>
    <phoneticPr fontId="4" type="noConversion"/>
  </si>
  <si>
    <t>PLAN_UNIT_PRICE_KRW</t>
  </si>
  <si>
    <t>BEFORE_CURRENCY</t>
  </si>
  <si>
    <t>BEFORE_UNIT_PRICE_KRW</t>
  </si>
  <si>
    <t>UNIT_PRICE_KRW</t>
  </si>
  <si>
    <t>MAKE_BUY</t>
  </si>
  <si>
    <t>MAKE_BUY</t>
    <phoneticPr fontId="2" type="noConversion"/>
  </si>
  <si>
    <t>UNIT_PRICE_KRW</t>
    <phoneticPr fontId="2" type="noConversion"/>
  </si>
  <si>
    <t>BEFORE_UNIT_PRICE</t>
    <phoneticPr fontId="2" type="noConversion"/>
  </si>
  <si>
    <t>BEFORE_UNIT_PRICE_KRW</t>
    <phoneticPr fontId="2" type="noConversion"/>
  </si>
  <si>
    <t>BEFORE_CURRENCY</t>
    <phoneticPr fontId="2" type="noConversion"/>
  </si>
  <si>
    <t>PLAN_UNIT_PRICE_KRW</t>
    <phoneticPr fontId="2" type="noConversion"/>
  </si>
  <si>
    <t>구다환</t>
    <phoneticPr fontId="2" type="noConversion"/>
  </si>
  <si>
    <t>DPS측 컬럼명 수정</t>
    <phoneticPr fontId="2" type="noConversion"/>
  </si>
  <si>
    <t>2022.11.14</t>
    <phoneticPr fontId="2" type="noConversion"/>
  </si>
  <si>
    <t>TEXT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</si>
</sst>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5" fillId="2" borderId="31" xfId="0" applyFont="1" applyFill="1" applyBorder="1" applyAlignment="1">
      <alignment horizontal="left" vertical="center" wrapText="1"/>
    </xf>
    <xf numFmtId="0" fontId="28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25" fillId="0" borderId="31" xfId="6" applyFont="1" applyBorder="1" applyAlignment="1">
      <alignment horizontal="left"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29" fillId="0" borderId="31" xfId="0" applyFont="1" applyBorder="1">
      <alignment vertical="center"/>
    </xf>
    <xf numFmtId="0" fontId="25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12" fillId="5" borderId="35" xfId="1" applyFont="1" applyFill="1" applyBorder="1" applyAlignment="1">
      <alignment horizontal="center" vertical="center" wrapText="1"/>
    </xf>
    <xf numFmtId="0" fontId="9" fillId="2" borderId="41" xfId="0" quotePrefix="1" applyFont="1" applyFill="1" applyBorder="1" applyAlignment="1">
      <alignment horizontal="left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24" fillId="8" borderId="41" xfId="6" applyFont="1" applyFill="1" applyBorder="1" applyAlignment="1">
      <alignment vertical="center"/>
    </xf>
    <xf numFmtId="0" fontId="5" fillId="0" borderId="41" xfId="0" applyFont="1" applyBorder="1">
      <alignment vertical="center"/>
    </xf>
    <xf numFmtId="0" fontId="9" fillId="0" borderId="41" xfId="0" applyFont="1" applyBorder="1">
      <alignment vertical="center"/>
    </xf>
    <xf numFmtId="0" fontId="0" fillId="0" borderId="41" xfId="0" applyBorder="1">
      <alignment vertical="center"/>
    </xf>
    <xf numFmtId="0" fontId="24" fillId="9" borderId="31" xfId="6" applyFont="1" applyFill="1" applyBorder="1" applyAlignment="1">
      <alignment vertical="center"/>
    </xf>
    <xf numFmtId="0" fontId="24" fillId="9" borderId="41" xfId="6" applyFont="1" applyFill="1" applyBorder="1" applyAlignment="1">
      <alignment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9" borderId="18" xfId="7" applyFont="1" applyFill="1" applyBorder="1" applyAlignment="1">
      <alignment horizontal="left" vertical="center" wrapText="1"/>
    </xf>
    <xf numFmtId="0" fontId="11" fillId="9" borderId="19" xfId="1" applyFont="1" applyFill="1" applyBorder="1" applyAlignment="1">
      <alignment horizontal="center" vertical="center" wrapText="1"/>
    </xf>
    <xf numFmtId="0" fontId="11" fillId="9" borderId="20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8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10" borderId="3" xfId="1" applyFont="1" applyFill="1" applyBorder="1" applyAlignment="1">
      <alignment horizontal="left" vertical="top" wrapText="1"/>
    </xf>
    <xf numFmtId="0" fontId="12" fillId="10" borderId="16" xfId="1" applyFont="1" applyFill="1" applyBorder="1" applyAlignment="1">
      <alignment horizontal="left" vertical="top" wrapText="1"/>
    </xf>
    <xf numFmtId="0" fontId="12" fillId="10" borderId="4" xfId="1" applyFont="1" applyFill="1" applyBorder="1" applyAlignment="1">
      <alignment horizontal="left" vertical="top" wrapText="1"/>
    </xf>
    <xf numFmtId="0" fontId="12" fillId="9" borderId="36" xfId="1" applyFont="1" applyFill="1" applyBorder="1" applyAlignment="1">
      <alignment horizontal="left" vertical="top" wrapText="1"/>
    </xf>
    <xf numFmtId="0" fontId="12" fillId="9" borderId="33" xfId="1" applyFont="1" applyFill="1" applyBorder="1" applyAlignment="1">
      <alignment horizontal="left" vertical="top" wrapText="1"/>
    </xf>
    <xf numFmtId="0" fontId="12" fillId="9" borderId="37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11" Target="../customXml/item1.xml" Type="http://schemas.openxmlformats.org/officeDocument/2006/relationships/customXml"/>
<Relationship Id="rId12" Target="../customXml/item2.xml" Type="http://schemas.openxmlformats.org/officeDocument/2006/relationships/customXml"/>
<Relationship Id="rId13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externalLinks/externalLink1.xml" Type="http://schemas.openxmlformats.org/officeDocument/2006/relationships/externalLink"/>
<Relationship Id="rId6" Target="externalLinks/externalLink2.xml" Type="http://schemas.openxmlformats.org/officeDocument/2006/relationships/externalLink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N8" sqref="N8:O8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90" t="s">
        <v>4</v>
      </c>
      <c r="C5" s="87"/>
      <c r="D5" s="86" t="s">
        <v>5</v>
      </c>
      <c r="E5" s="87"/>
      <c r="F5" s="86" t="s">
        <v>1</v>
      </c>
      <c r="G5" s="88"/>
      <c r="H5" s="88"/>
      <c r="I5" s="88"/>
      <c r="J5" s="87"/>
      <c r="K5" s="86" t="s">
        <v>6</v>
      </c>
      <c r="L5" s="89"/>
      <c r="M5" s="9"/>
      <c r="N5" s="90" t="s">
        <v>4</v>
      </c>
      <c r="O5" s="87"/>
      <c r="P5" s="86" t="s">
        <v>5</v>
      </c>
      <c r="Q5" s="87"/>
      <c r="R5" s="86" t="s">
        <v>1</v>
      </c>
      <c r="S5" s="88"/>
      <c r="T5" s="88"/>
      <c r="U5" s="88"/>
      <c r="V5" s="87"/>
      <c r="W5" s="86" t="s">
        <v>6</v>
      </c>
      <c r="X5" s="89"/>
    </row>
    <row r="6" spans="1:24" x14ac:dyDescent="0.3">
      <c r="A6" s="9"/>
      <c r="B6" s="83"/>
      <c r="C6" s="77"/>
      <c r="D6" s="76"/>
      <c r="E6" s="77"/>
      <c r="F6" s="85" t="s">
        <v>7</v>
      </c>
      <c r="G6" s="79"/>
      <c r="H6" s="79"/>
      <c r="I6" s="79"/>
      <c r="J6" s="80"/>
      <c r="K6" s="76">
        <v>0.1</v>
      </c>
      <c r="L6" s="84"/>
      <c r="M6" s="9"/>
      <c r="N6" s="83" t="s">
        <v>8</v>
      </c>
      <c r="O6" s="77"/>
      <c r="P6" s="76" t="s">
        <v>9</v>
      </c>
      <c r="Q6" s="77"/>
      <c r="R6" s="85" t="s">
        <v>7</v>
      </c>
      <c r="S6" s="79"/>
      <c r="T6" s="79"/>
      <c r="U6" s="79"/>
      <c r="V6" s="80"/>
      <c r="W6" s="76">
        <v>0.1</v>
      </c>
      <c r="X6" s="84"/>
    </row>
    <row r="7" spans="1:24" x14ac:dyDescent="0.3">
      <c r="A7" s="9"/>
      <c r="B7" s="83"/>
      <c r="C7" s="77"/>
      <c r="D7" s="76"/>
      <c r="E7" s="77"/>
      <c r="F7" s="85"/>
      <c r="G7" s="79"/>
      <c r="H7" s="79"/>
      <c r="I7" s="79"/>
      <c r="J7" s="80"/>
      <c r="K7" s="76"/>
      <c r="L7" s="84"/>
      <c r="M7" s="9"/>
      <c r="N7" s="83" t="s">
        <v>379</v>
      </c>
      <c r="O7" s="77"/>
      <c r="P7" s="76" t="s">
        <v>377</v>
      </c>
      <c r="Q7" s="77"/>
      <c r="R7" s="78" t="s">
        <v>378</v>
      </c>
      <c r="S7" s="79"/>
      <c r="T7" s="79"/>
      <c r="U7" s="79"/>
      <c r="V7" s="80"/>
      <c r="W7" s="76">
        <v>0.3</v>
      </c>
      <c r="X7" s="84"/>
    </row>
    <row r="8" spans="1:24" x14ac:dyDescent="0.3">
      <c r="A8" s="9"/>
      <c r="B8" s="83"/>
      <c r="C8" s="77"/>
      <c r="D8" s="76"/>
      <c r="E8" s="77"/>
      <c r="F8" s="78"/>
      <c r="G8" s="79"/>
      <c r="H8" s="79"/>
      <c r="I8" s="79"/>
      <c r="J8" s="80"/>
      <c r="K8" s="81"/>
      <c r="L8" s="82"/>
      <c r="M8" s="9"/>
      <c r="N8" s="83"/>
      <c r="O8" s="77"/>
      <c r="P8" s="76"/>
      <c r="Q8" s="77"/>
      <c r="R8" s="78"/>
      <c r="S8" s="79"/>
      <c r="T8" s="79"/>
      <c r="U8" s="79"/>
      <c r="V8" s="80"/>
      <c r="W8" s="81"/>
      <c r="X8" s="82"/>
    </row>
    <row r="9" spans="1:24" x14ac:dyDescent="0.3">
      <c r="A9" s="9"/>
      <c r="B9" s="83"/>
      <c r="C9" s="77"/>
      <c r="D9" s="76"/>
      <c r="E9" s="77"/>
      <c r="F9" s="78"/>
      <c r="G9" s="79"/>
      <c r="H9" s="79"/>
      <c r="I9" s="79"/>
      <c r="J9" s="80"/>
      <c r="K9" s="81"/>
      <c r="L9" s="82"/>
      <c r="M9" s="9"/>
      <c r="N9" s="83"/>
      <c r="O9" s="77"/>
      <c r="P9" s="76"/>
      <c r="Q9" s="77"/>
      <c r="R9" s="78"/>
      <c r="S9" s="79"/>
      <c r="T9" s="79"/>
      <c r="U9" s="79"/>
      <c r="V9" s="80"/>
      <c r="W9" s="81"/>
      <c r="X9" s="82"/>
    </row>
    <row r="10" spans="1:24" ht="17.25" thickBot="1" x14ac:dyDescent="0.35"/>
    <row r="11" spans="1:24" x14ac:dyDescent="0.3">
      <c r="B11" s="90" t="s">
        <v>4</v>
      </c>
      <c r="C11" s="87"/>
      <c r="D11" s="86" t="s">
        <v>5</v>
      </c>
      <c r="E11" s="87"/>
      <c r="F11" s="86" t="s">
        <v>1</v>
      </c>
      <c r="G11" s="88"/>
      <c r="H11" s="88"/>
      <c r="I11" s="88"/>
      <c r="J11" s="87"/>
      <c r="K11" s="86" t="s">
        <v>6</v>
      </c>
      <c r="L11" s="89"/>
    </row>
    <row r="12" spans="1:24" x14ac:dyDescent="0.3">
      <c r="B12" s="83" t="s">
        <v>363</v>
      </c>
      <c r="C12" s="77"/>
      <c r="D12" s="76" t="s">
        <v>364</v>
      </c>
      <c r="E12" s="77"/>
      <c r="F12" s="85" t="s">
        <v>365</v>
      </c>
      <c r="G12" s="79"/>
      <c r="H12" s="79"/>
      <c r="I12" s="79"/>
      <c r="J12" s="80"/>
      <c r="K12" s="76">
        <v>0.2</v>
      </c>
      <c r="L12" s="84"/>
    </row>
    <row r="13" spans="1:24" x14ac:dyDescent="0.3">
      <c r="B13" s="83"/>
      <c r="C13" s="77"/>
      <c r="D13" s="76"/>
      <c r="E13" s="77"/>
      <c r="F13" s="85"/>
      <c r="G13" s="79"/>
      <c r="H13" s="79"/>
      <c r="I13" s="79"/>
      <c r="J13" s="80"/>
      <c r="K13" s="76"/>
      <c r="L13" s="84"/>
    </row>
    <row r="14" spans="1:24" x14ac:dyDescent="0.3">
      <c r="B14" s="83"/>
      <c r="C14" s="77"/>
      <c r="D14" s="76"/>
      <c r="E14" s="77"/>
      <c r="F14" s="78"/>
      <c r="G14" s="79"/>
      <c r="H14" s="79"/>
      <c r="I14" s="79"/>
      <c r="J14" s="80"/>
      <c r="K14" s="81"/>
      <c r="L14" s="82"/>
    </row>
    <row r="15" spans="1:24" x14ac:dyDescent="0.3">
      <c r="B15" s="83"/>
      <c r="C15" s="77"/>
      <c r="D15" s="76"/>
      <c r="E15" s="77"/>
      <c r="F15" s="78"/>
      <c r="G15" s="79"/>
      <c r="H15" s="79"/>
      <c r="I15" s="79"/>
      <c r="J15" s="80"/>
      <c r="K15" s="81"/>
      <c r="L15" s="82"/>
    </row>
  </sheetData>
  <mergeCells count="61"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  <mergeCell ref="B11:C11"/>
    <mergeCell ref="D11:E11"/>
    <mergeCell ref="F11:J11"/>
    <mergeCell ref="K11:L11"/>
    <mergeCell ref="B12:C12"/>
    <mergeCell ref="D12:E12"/>
    <mergeCell ref="F12:J12"/>
    <mergeCell ref="K12:L12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90"/>
  <sheetViews>
    <sheetView tabSelected="1" topLeftCell="A3" zoomScale="85" zoomScaleNormal="85" workbookViewId="0">
      <selection activeCell="N3" sqref="A1:N1048576"/>
    </sheetView>
  </sheetViews>
  <sheetFormatPr defaultColWidth="9" defaultRowHeight="16.5" x14ac:dyDescent="0.3"/>
  <cols>
    <col min="1" max="1" width="9" style="3"/>
    <col min="2" max="2" width="3" style="3" hidden="1" customWidth="1"/>
    <col min="3" max="3" width="33" style="3" customWidth="1"/>
    <col min="4" max="4" width="4.375" style="3" bestFit="1" customWidth="1"/>
    <col min="5" max="5" width="26.875" style="3" customWidth="1"/>
    <col min="6" max="6" width="4.25" style="3" bestFit="1" customWidth="1"/>
    <col min="7" max="7" width="13" style="3" bestFit="1" customWidth="1"/>
    <col min="8" max="8" width="5.5" style="3" bestFit="1" customWidth="1"/>
    <col min="9" max="9" width="7.75" style="3" customWidth="1"/>
    <col min="10" max="10" width="25.625" style="3" customWidth="1"/>
    <col min="11" max="11" width="17.25" style="3" customWidth="1"/>
    <col min="12" max="12" width="6" style="3" customWidth="1"/>
    <col min="13" max="13" width="6" style="3" hidden="1" customWidth="1"/>
    <col min="14" max="14" width="33" style="3" customWidth="1"/>
    <col min="15" max="15" width="4.375" style="3" bestFit="1" customWidth="1"/>
    <col min="16" max="16" width="26.875" style="3" customWidth="1"/>
    <col min="17" max="17" width="4.375" style="3" customWidth="1"/>
    <col min="18" max="18" width="11" style="3" customWidth="1"/>
    <col min="19" max="19" width="5.5" style="3" bestFit="1" customWidth="1"/>
    <col min="20" max="20" width="9" style="3" customWidth="1"/>
    <col min="21" max="21" width="25.6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7" t="s">
        <v>154</v>
      </c>
      <c r="D2" s="128"/>
      <c r="E2" s="128"/>
      <c r="F2" s="128"/>
      <c r="G2" s="128"/>
      <c r="H2" s="128"/>
      <c r="I2" s="128"/>
      <c r="J2" s="128"/>
      <c r="K2" s="128"/>
      <c r="L2" s="128"/>
      <c r="M2" s="129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</row>
    <row r="3" spans="3:24" ht="16.5" customHeight="1" x14ac:dyDescent="0.3">
      <c r="C3" s="24" t="s">
        <v>155</v>
      </c>
      <c r="D3" s="108" t="s">
        <v>353</v>
      </c>
      <c r="E3" s="109"/>
      <c r="F3" s="109"/>
      <c r="G3" s="109"/>
      <c r="H3" s="110"/>
      <c r="I3" s="130" t="s">
        <v>156</v>
      </c>
      <c r="J3" s="130"/>
      <c r="K3" s="113" t="s">
        <v>157</v>
      </c>
      <c r="L3" s="114"/>
      <c r="M3" s="60"/>
      <c r="N3" s="25" t="s">
        <v>158</v>
      </c>
      <c r="O3" s="115" t="s">
        <v>157</v>
      </c>
      <c r="P3" s="116"/>
      <c r="Q3" s="116"/>
      <c r="R3" s="116"/>
      <c r="S3" s="116"/>
      <c r="T3" s="116"/>
      <c r="U3" s="117"/>
      <c r="V3" s="25" t="s">
        <v>159</v>
      </c>
      <c r="W3" s="131">
        <v>44830</v>
      </c>
      <c r="X3" s="114"/>
    </row>
    <row r="4" spans="3:24" ht="16.5" customHeight="1" x14ac:dyDescent="0.3">
      <c r="C4" s="24" t="s">
        <v>160</v>
      </c>
      <c r="D4" s="108" t="s">
        <v>161</v>
      </c>
      <c r="E4" s="109"/>
      <c r="F4" s="109"/>
      <c r="G4" s="109"/>
      <c r="H4" s="110"/>
      <c r="I4" s="111" t="s">
        <v>15</v>
      </c>
      <c r="J4" s="112"/>
      <c r="K4" s="113" t="s">
        <v>162</v>
      </c>
      <c r="L4" s="114"/>
      <c r="M4" s="60"/>
      <c r="N4" s="25" t="s">
        <v>163</v>
      </c>
      <c r="O4" s="115" t="s">
        <v>164</v>
      </c>
      <c r="P4" s="116"/>
      <c r="Q4" s="116"/>
      <c r="R4" s="116"/>
      <c r="S4" s="116"/>
      <c r="T4" s="116"/>
      <c r="U4" s="117"/>
      <c r="V4" s="25" t="s">
        <v>165</v>
      </c>
      <c r="W4" s="94"/>
      <c r="X4" s="95"/>
    </row>
    <row r="5" spans="3:24" ht="16.5" customHeight="1" x14ac:dyDescent="0.3">
      <c r="C5" s="26" t="s">
        <v>166</v>
      </c>
      <c r="D5" s="118"/>
      <c r="E5" s="119"/>
      <c r="F5" s="119"/>
      <c r="G5" s="119"/>
      <c r="H5" s="120"/>
      <c r="I5" s="121" t="s">
        <v>167</v>
      </c>
      <c r="J5" s="121"/>
      <c r="K5" s="92"/>
      <c r="L5" s="93"/>
      <c r="M5" s="61"/>
      <c r="N5" s="26" t="s">
        <v>168</v>
      </c>
      <c r="O5" s="122"/>
      <c r="P5" s="123"/>
      <c r="Q5" s="123"/>
      <c r="R5" s="123"/>
      <c r="S5" s="123"/>
      <c r="T5" s="123"/>
      <c r="U5" s="124"/>
      <c r="V5" s="26" t="s">
        <v>169</v>
      </c>
      <c r="W5" s="92"/>
      <c r="X5" s="93"/>
    </row>
    <row r="7" spans="3:24" ht="45.75" customHeight="1" x14ac:dyDescent="0.3">
      <c r="C7" s="13" t="s">
        <v>170</v>
      </c>
      <c r="D7" s="104" t="s">
        <v>171</v>
      </c>
      <c r="E7" s="105"/>
      <c r="F7" s="105"/>
      <c r="G7" s="105"/>
      <c r="H7" s="105"/>
      <c r="I7" s="105"/>
      <c r="J7" s="105"/>
      <c r="K7" s="105"/>
      <c r="L7" s="105"/>
      <c r="M7" s="106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7"/>
    </row>
    <row r="8" spans="3:24" ht="27" customHeight="1" x14ac:dyDescent="0.3">
      <c r="C8" s="13" t="s">
        <v>172</v>
      </c>
      <c r="D8" s="104" t="s">
        <v>173</v>
      </c>
      <c r="E8" s="105"/>
      <c r="F8" s="105"/>
      <c r="G8" s="105"/>
      <c r="H8" s="105"/>
      <c r="I8" s="105"/>
      <c r="J8" s="105"/>
      <c r="K8" s="105"/>
      <c r="L8" s="105"/>
      <c r="M8" s="106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7"/>
    </row>
    <row r="10" spans="3:24" ht="38.25" customHeight="1" x14ac:dyDescent="0.3">
      <c r="C10" s="125" t="s">
        <v>174</v>
      </c>
      <c r="D10" s="125"/>
      <c r="E10" s="125"/>
      <c r="F10" s="125"/>
      <c r="G10" s="125"/>
      <c r="H10" s="125"/>
      <c r="I10" s="125"/>
      <c r="J10" s="125"/>
      <c r="K10" s="125"/>
      <c r="L10" s="126"/>
      <c r="M10" s="62"/>
      <c r="N10" s="132" t="s">
        <v>175</v>
      </c>
      <c r="O10" s="125"/>
      <c r="P10" s="125"/>
      <c r="Q10" s="125"/>
      <c r="R10" s="125"/>
      <c r="S10" s="125"/>
      <c r="T10" s="125"/>
      <c r="U10" s="125"/>
      <c r="V10" s="125"/>
      <c r="W10" s="125"/>
      <c r="X10" s="121" t="s">
        <v>176</v>
      </c>
    </row>
    <row r="11" spans="3:24" ht="16.5" customHeight="1" x14ac:dyDescent="0.3">
      <c r="C11" s="134" t="s">
        <v>10</v>
      </c>
      <c r="D11" s="99"/>
      <c r="E11" s="99"/>
      <c r="F11" s="100"/>
      <c r="G11" s="135" t="s">
        <v>177</v>
      </c>
      <c r="H11" s="136"/>
      <c r="I11" s="136"/>
      <c r="J11" s="136"/>
      <c r="K11" s="136"/>
      <c r="L11" s="139"/>
      <c r="M11" s="63"/>
      <c r="N11" s="98" t="s">
        <v>10</v>
      </c>
      <c r="O11" s="99"/>
      <c r="P11" s="99"/>
      <c r="Q11" s="100"/>
      <c r="R11" s="135" t="s">
        <v>44</v>
      </c>
      <c r="S11" s="136"/>
      <c r="T11" s="136"/>
      <c r="U11" s="136"/>
      <c r="V11" s="136"/>
      <c r="W11" s="139"/>
      <c r="X11" s="121"/>
    </row>
    <row r="12" spans="3:24" ht="16.5" customHeight="1" x14ac:dyDescent="0.3">
      <c r="C12" s="134" t="s">
        <v>178</v>
      </c>
      <c r="D12" s="99"/>
      <c r="E12" s="99"/>
      <c r="F12" s="100"/>
      <c r="G12" s="135" t="str">
        <f>VLOOKUP(G11,Code!$B$3:$C$69,2,0)</f>
        <v>DPS</v>
      </c>
      <c r="H12" s="136"/>
      <c r="I12" s="136"/>
      <c r="J12" s="136"/>
      <c r="K12" s="136"/>
      <c r="L12" s="137"/>
      <c r="M12" s="63"/>
      <c r="N12" s="98" t="s">
        <v>178</v>
      </c>
      <c r="O12" s="99"/>
      <c r="P12" s="99"/>
      <c r="Q12" s="100"/>
      <c r="R12" s="135" t="str">
        <f>VLOOKUP(R11,Code!$B$3:$C$69,2,0)</f>
        <v>ERP</v>
      </c>
      <c r="S12" s="136"/>
      <c r="T12" s="136"/>
      <c r="U12" s="136"/>
      <c r="V12" s="136"/>
      <c r="W12" s="137"/>
      <c r="X12" s="100"/>
    </row>
    <row r="13" spans="3:24" ht="16.5" customHeight="1" x14ac:dyDescent="0.3">
      <c r="C13" s="134" t="s">
        <v>179</v>
      </c>
      <c r="D13" s="99"/>
      <c r="E13" s="99"/>
      <c r="F13" s="100"/>
      <c r="G13" s="96"/>
      <c r="H13" s="97"/>
      <c r="I13" s="97"/>
      <c r="J13" s="97"/>
      <c r="K13" s="97"/>
      <c r="L13" s="138"/>
      <c r="M13" s="64"/>
      <c r="N13" s="98" t="s">
        <v>179</v>
      </c>
      <c r="O13" s="99"/>
      <c r="P13" s="99"/>
      <c r="Q13" s="100"/>
      <c r="R13" s="96" t="s">
        <v>180</v>
      </c>
      <c r="S13" s="97"/>
      <c r="T13" s="97"/>
      <c r="U13" s="97"/>
      <c r="V13" s="97"/>
      <c r="W13" s="138"/>
      <c r="X13" s="121"/>
    </row>
    <row r="14" spans="3:24" x14ac:dyDescent="0.3">
      <c r="C14" s="121" t="s">
        <v>181</v>
      </c>
      <c r="D14" s="121"/>
      <c r="E14" s="121"/>
      <c r="F14" s="121"/>
      <c r="G14" s="96" t="s">
        <v>354</v>
      </c>
      <c r="H14" s="97"/>
      <c r="I14" s="97"/>
      <c r="J14" s="97"/>
      <c r="K14" s="97"/>
      <c r="L14" s="97"/>
      <c r="M14" s="64"/>
      <c r="N14" s="98" t="s">
        <v>181</v>
      </c>
      <c r="O14" s="99"/>
      <c r="P14" s="99"/>
      <c r="Q14" s="100"/>
      <c r="R14" s="101" t="s">
        <v>182</v>
      </c>
      <c r="S14" s="102"/>
      <c r="T14" s="102"/>
      <c r="U14" s="102"/>
      <c r="V14" s="102"/>
      <c r="W14" s="103"/>
      <c r="X14" s="121"/>
    </row>
    <row r="15" spans="3:24" ht="16.5" customHeight="1" x14ac:dyDescent="0.3">
      <c r="C15" s="121" t="s">
        <v>12</v>
      </c>
      <c r="D15" s="121"/>
      <c r="E15" s="121"/>
      <c r="F15" s="121"/>
      <c r="G15" s="96" t="s">
        <v>33</v>
      </c>
      <c r="H15" s="97"/>
      <c r="I15" s="97"/>
      <c r="J15" s="97"/>
      <c r="K15" s="97"/>
      <c r="L15" s="138"/>
      <c r="M15" s="64"/>
      <c r="N15" s="148" t="s">
        <v>12</v>
      </c>
      <c r="O15" s="121"/>
      <c r="P15" s="121"/>
      <c r="Q15" s="121"/>
      <c r="R15" s="96" t="s">
        <v>183</v>
      </c>
      <c r="S15" s="97"/>
      <c r="T15" s="97"/>
      <c r="U15" s="97"/>
      <c r="V15" s="97"/>
      <c r="W15" s="138"/>
      <c r="X15" s="121"/>
    </row>
    <row r="16" spans="3:24" ht="16.5" customHeight="1" x14ac:dyDescent="0.3">
      <c r="C16" s="149" t="s">
        <v>184</v>
      </c>
      <c r="D16" s="150"/>
      <c r="E16" s="150"/>
      <c r="F16" s="150"/>
      <c r="G16" s="150"/>
      <c r="H16" s="150"/>
      <c r="I16" s="150"/>
      <c r="J16" s="150"/>
      <c r="K16" s="150"/>
      <c r="L16" s="151"/>
      <c r="M16" s="65"/>
      <c r="N16" s="152" t="s">
        <v>185</v>
      </c>
      <c r="O16" s="150"/>
      <c r="P16" s="150"/>
      <c r="Q16" s="150"/>
      <c r="R16" s="150"/>
      <c r="S16" s="150"/>
      <c r="T16" s="150"/>
      <c r="U16" s="150"/>
      <c r="V16" s="150"/>
      <c r="W16" s="153"/>
      <c r="X16" s="121"/>
    </row>
    <row r="17" spans="2:24" ht="16.5" customHeight="1" x14ac:dyDescent="0.3">
      <c r="C17" s="15" t="s">
        <v>181</v>
      </c>
      <c r="D17" s="15" t="s">
        <v>186</v>
      </c>
      <c r="E17" s="15" t="s">
        <v>187</v>
      </c>
      <c r="F17" s="15" t="s">
        <v>188</v>
      </c>
      <c r="G17" s="15" t="s">
        <v>189</v>
      </c>
      <c r="H17" s="15" t="s">
        <v>190</v>
      </c>
      <c r="I17" s="15" t="s">
        <v>191</v>
      </c>
      <c r="J17" s="15" t="s">
        <v>158</v>
      </c>
      <c r="K17" s="15" t="s">
        <v>192</v>
      </c>
      <c r="L17" s="27" t="s">
        <v>193</v>
      </c>
      <c r="M17" s="65"/>
      <c r="N17" s="28" t="s">
        <v>181</v>
      </c>
      <c r="O17" s="29" t="s">
        <v>186</v>
      </c>
      <c r="P17" s="29" t="s">
        <v>187</v>
      </c>
      <c r="Q17" s="29" t="s">
        <v>188</v>
      </c>
      <c r="R17" s="29" t="s">
        <v>189</v>
      </c>
      <c r="S17" s="29" t="s">
        <v>190</v>
      </c>
      <c r="T17" s="15" t="s">
        <v>191</v>
      </c>
      <c r="U17" s="29" t="s">
        <v>158</v>
      </c>
      <c r="V17" s="29" t="s">
        <v>192</v>
      </c>
      <c r="W17" s="29" t="s">
        <v>193</v>
      </c>
      <c r="X17" s="133"/>
    </row>
    <row r="18" spans="2:24" s="2" customFormat="1" ht="16.5" customHeight="1" x14ac:dyDescent="0.3">
      <c r="B18" s="2" t="s">
        <v>356</v>
      </c>
      <c r="C18" s="30" t="s">
        <v>33</v>
      </c>
      <c r="D18" s="31">
        <v>1</v>
      </c>
      <c r="E18" s="32" t="s">
        <v>194</v>
      </c>
      <c r="F18" s="33"/>
      <c r="G18" s="34" t="s">
        <v>380</v>
      </c>
      <c r="H18" s="34"/>
      <c r="I18" s="33" t="s">
        <v>23</v>
      </c>
      <c r="J18" s="35" t="s">
        <v>195</v>
      </c>
      <c r="K18" s="36" t="s">
        <v>196</v>
      </c>
      <c r="L18" s="37"/>
      <c r="M18" s="37" t="s">
        <v>357</v>
      </c>
      <c r="N18" s="21" t="s">
        <v>182</v>
      </c>
      <c r="O18" s="31">
        <v>1</v>
      </c>
      <c r="P18" s="32" t="s">
        <v>197</v>
      </c>
      <c r="Q18" s="33"/>
      <c r="R18" s="34" t="s">
        <v>198</v>
      </c>
      <c r="S18" s="34">
        <v>6</v>
      </c>
      <c r="T18" s="33" t="s">
        <v>23</v>
      </c>
      <c r="U18" s="35" t="s">
        <v>199</v>
      </c>
      <c r="V18" s="36" t="s">
        <v>197</v>
      </c>
      <c r="W18" s="38"/>
      <c r="X18" s="39"/>
    </row>
    <row r="19" spans="2:24" s="2" customFormat="1" ht="16.5" customHeight="1" x14ac:dyDescent="0.3">
      <c r="B19" s="2" t="s">
        <v>356</v>
      </c>
      <c r="C19" s="40"/>
      <c r="D19" s="33">
        <v>2</v>
      </c>
      <c r="E19" s="41" t="s">
        <v>200</v>
      </c>
      <c r="F19" s="33"/>
      <c r="G19" s="34" t="s">
        <v>380</v>
      </c>
      <c r="H19" s="34"/>
      <c r="I19" s="33" t="s">
        <v>23</v>
      </c>
      <c r="J19" s="35" t="s">
        <v>201</v>
      </c>
      <c r="K19" s="36" t="s">
        <v>196</v>
      </c>
      <c r="L19" s="37"/>
      <c r="M19" s="37" t="s">
        <v>357</v>
      </c>
      <c r="N19" s="21"/>
      <c r="O19" s="31">
        <v>2</v>
      </c>
      <c r="P19" s="32" t="s">
        <v>197</v>
      </c>
      <c r="Q19" s="33"/>
      <c r="R19" s="34" t="s">
        <v>198</v>
      </c>
      <c r="S19" s="34">
        <v>6</v>
      </c>
      <c r="T19" s="33" t="s">
        <v>23</v>
      </c>
      <c r="U19" s="35" t="s">
        <v>199</v>
      </c>
      <c r="V19" s="36" t="s">
        <v>197</v>
      </c>
      <c r="W19" s="38"/>
      <c r="X19" s="39"/>
    </row>
    <row r="20" spans="2:24" ht="16.5" customHeight="1" x14ac:dyDescent="0.3">
      <c r="N20" s="14"/>
      <c r="X20" s="42"/>
    </row>
    <row r="21" spans="2:24" ht="16.5" customHeight="1" x14ac:dyDescent="0.3">
      <c r="C21" s="121" t="s">
        <v>185</v>
      </c>
      <c r="D21" s="121"/>
      <c r="E21" s="121"/>
      <c r="F21" s="121"/>
      <c r="G21" s="121"/>
      <c r="H21" s="121"/>
      <c r="I21" s="121"/>
      <c r="J21" s="121"/>
      <c r="K21" s="121"/>
      <c r="L21" s="134"/>
      <c r="M21" s="66"/>
      <c r="N21" s="148" t="s">
        <v>184</v>
      </c>
      <c r="O21" s="121"/>
      <c r="P21" s="121"/>
      <c r="Q21" s="121"/>
      <c r="R21" s="121"/>
      <c r="S21" s="121"/>
      <c r="T21" s="121"/>
      <c r="U21" s="121"/>
      <c r="V21" s="121"/>
      <c r="W21" s="134"/>
      <c r="X21" s="146" t="s">
        <v>176</v>
      </c>
    </row>
    <row r="22" spans="2:24" ht="16.5" customHeight="1" x14ac:dyDescent="0.3">
      <c r="C22" s="15" t="s">
        <v>181</v>
      </c>
      <c r="D22" s="15" t="s">
        <v>186</v>
      </c>
      <c r="E22" s="15" t="s">
        <v>202</v>
      </c>
      <c r="F22" s="15" t="s">
        <v>188</v>
      </c>
      <c r="G22" s="15" t="s">
        <v>189</v>
      </c>
      <c r="H22" s="15" t="s">
        <v>190</v>
      </c>
      <c r="I22" s="15" t="s">
        <v>191</v>
      </c>
      <c r="J22" s="15" t="s">
        <v>158</v>
      </c>
      <c r="K22" s="15" t="s">
        <v>192</v>
      </c>
      <c r="L22" s="27" t="s">
        <v>193</v>
      </c>
      <c r="M22" s="65"/>
      <c r="N22" s="28" t="s">
        <v>181</v>
      </c>
      <c r="O22" s="29" t="s">
        <v>186</v>
      </c>
      <c r="P22" s="29" t="s">
        <v>187</v>
      </c>
      <c r="Q22" s="29" t="s">
        <v>188</v>
      </c>
      <c r="R22" s="29" t="s">
        <v>189</v>
      </c>
      <c r="S22" s="29" t="s">
        <v>190</v>
      </c>
      <c r="T22" s="15" t="s">
        <v>191</v>
      </c>
      <c r="U22" s="29" t="s">
        <v>158</v>
      </c>
      <c r="V22" s="29" t="s">
        <v>192</v>
      </c>
      <c r="W22" s="29" t="s">
        <v>193</v>
      </c>
      <c r="X22" s="147"/>
    </row>
    <row r="23" spans="2:24" s="1" customFormat="1" ht="16.5" customHeight="1" x14ac:dyDescent="0.3">
      <c r="B23" s="1" t="s">
        <v>358</v>
      </c>
      <c r="C23" s="59" t="s">
        <v>182</v>
      </c>
      <c r="D23" s="38">
        <v>1</v>
      </c>
      <c r="E23" s="43" t="s">
        <v>203</v>
      </c>
      <c r="F23" s="38" t="s">
        <v>204</v>
      </c>
      <c r="G23" s="44" t="s">
        <v>205</v>
      </c>
      <c r="H23" s="58" t="s">
        <v>206</v>
      </c>
      <c r="I23" s="33"/>
      <c r="J23" s="34" t="s">
        <v>199</v>
      </c>
      <c r="K23" s="45"/>
      <c r="L23" s="46"/>
      <c r="M23" s="46" t="s">
        <v>360</v>
      </c>
      <c r="N23" s="21" t="s">
        <v>182</v>
      </c>
      <c r="O23" s="38">
        <v>1</v>
      </c>
      <c r="P23" s="43" t="s">
        <v>203</v>
      </c>
      <c r="Q23" s="38" t="s">
        <v>204</v>
      </c>
      <c r="R23" s="44" t="s">
        <v>207</v>
      </c>
      <c r="S23" s="58" t="s">
        <v>206</v>
      </c>
      <c r="T23" s="33"/>
      <c r="U23" s="34" t="s">
        <v>199</v>
      </c>
      <c r="V23" s="45"/>
      <c r="W23" s="38"/>
      <c r="X23" s="47"/>
    </row>
    <row r="24" spans="2:24" s="1" customFormat="1" ht="16.5" customHeight="1" x14ac:dyDescent="0.3">
      <c r="B24" s="1" t="s">
        <v>358</v>
      </c>
      <c r="C24" s="32"/>
      <c r="D24" s="38">
        <v>2</v>
      </c>
      <c r="E24" s="43" t="s">
        <v>208</v>
      </c>
      <c r="F24" s="38" t="s">
        <v>204</v>
      </c>
      <c r="G24" s="44" t="s">
        <v>209</v>
      </c>
      <c r="H24" s="58" t="s">
        <v>210</v>
      </c>
      <c r="I24" s="33"/>
      <c r="J24" s="34" t="s">
        <v>211</v>
      </c>
      <c r="K24" s="45"/>
      <c r="L24" s="46"/>
      <c r="M24" s="46" t="s">
        <v>360</v>
      </c>
      <c r="N24" s="21"/>
      <c r="O24" s="38">
        <v>2</v>
      </c>
      <c r="P24" s="43" t="s">
        <v>208</v>
      </c>
      <c r="Q24" s="38" t="s">
        <v>204</v>
      </c>
      <c r="R24" s="44" t="s">
        <v>212</v>
      </c>
      <c r="S24" s="58" t="s">
        <v>210</v>
      </c>
      <c r="T24" s="33"/>
      <c r="U24" s="34" t="s">
        <v>211</v>
      </c>
      <c r="V24" s="45"/>
      <c r="W24" s="38"/>
      <c r="X24" s="47"/>
    </row>
    <row r="25" spans="2:24" s="1" customFormat="1" ht="16.5" customHeight="1" x14ac:dyDescent="0.3">
      <c r="B25" s="1" t="s">
        <v>358</v>
      </c>
      <c r="C25" s="32"/>
      <c r="D25" s="38">
        <v>3</v>
      </c>
      <c r="E25" s="43" t="s">
        <v>213</v>
      </c>
      <c r="F25" s="38" t="s">
        <v>204</v>
      </c>
      <c r="G25" s="44" t="s">
        <v>209</v>
      </c>
      <c r="H25" s="58" t="s">
        <v>210</v>
      </c>
      <c r="I25" s="33"/>
      <c r="J25" s="34" t="s">
        <v>214</v>
      </c>
      <c r="K25" s="45"/>
      <c r="L25" s="46"/>
      <c r="M25" s="46" t="s">
        <v>360</v>
      </c>
      <c r="N25" s="21"/>
      <c r="O25" s="38">
        <v>3</v>
      </c>
      <c r="P25" s="43" t="s">
        <v>213</v>
      </c>
      <c r="Q25" s="38" t="s">
        <v>204</v>
      </c>
      <c r="R25" s="44" t="s">
        <v>212</v>
      </c>
      <c r="S25" s="58" t="s">
        <v>210</v>
      </c>
      <c r="T25" s="33"/>
      <c r="U25" s="34" t="s">
        <v>214</v>
      </c>
      <c r="V25" s="45"/>
      <c r="W25" s="38"/>
      <c r="X25" s="47"/>
    </row>
    <row r="26" spans="2:24" s="1" customFormat="1" ht="16.5" customHeight="1" x14ac:dyDescent="0.3">
      <c r="B26" s="1" t="s">
        <v>358</v>
      </c>
      <c r="C26" s="32"/>
      <c r="D26" s="38">
        <v>4</v>
      </c>
      <c r="E26" s="43" t="s">
        <v>215</v>
      </c>
      <c r="F26" s="38" t="s">
        <v>204</v>
      </c>
      <c r="G26" s="44" t="s">
        <v>209</v>
      </c>
      <c r="H26" s="58" t="s">
        <v>210</v>
      </c>
      <c r="I26" s="33"/>
      <c r="J26" s="34" t="s">
        <v>216</v>
      </c>
      <c r="K26" s="45"/>
      <c r="L26" s="46"/>
      <c r="M26" s="46" t="s">
        <v>360</v>
      </c>
      <c r="N26" s="21"/>
      <c r="O26" s="38">
        <v>4</v>
      </c>
      <c r="P26" s="43" t="s">
        <v>215</v>
      </c>
      <c r="Q26" s="38" t="s">
        <v>204</v>
      </c>
      <c r="R26" s="44" t="s">
        <v>212</v>
      </c>
      <c r="S26" s="58" t="s">
        <v>210</v>
      </c>
      <c r="T26" s="33"/>
      <c r="U26" s="34" t="s">
        <v>216</v>
      </c>
      <c r="V26" s="45"/>
      <c r="W26" s="38"/>
      <c r="X26" s="47"/>
    </row>
    <row r="27" spans="2:24" s="1" customFormat="1" ht="16.5" customHeight="1" x14ac:dyDescent="0.3">
      <c r="B27" s="1" t="s">
        <v>358</v>
      </c>
      <c r="C27" s="32"/>
      <c r="D27" s="38">
        <v>5</v>
      </c>
      <c r="E27" s="43" t="s">
        <v>217</v>
      </c>
      <c r="F27" s="38" t="s">
        <v>204</v>
      </c>
      <c r="G27" s="44" t="s">
        <v>205</v>
      </c>
      <c r="H27" s="58" t="s">
        <v>206</v>
      </c>
      <c r="I27" s="33"/>
      <c r="J27" s="34" t="s">
        <v>218</v>
      </c>
      <c r="K27" s="45"/>
      <c r="L27" s="46"/>
      <c r="M27" s="46" t="s">
        <v>360</v>
      </c>
      <c r="N27" s="21"/>
      <c r="O27" s="38">
        <v>5</v>
      </c>
      <c r="P27" s="43" t="s">
        <v>217</v>
      </c>
      <c r="Q27" s="38" t="s">
        <v>204</v>
      </c>
      <c r="R27" s="44" t="s">
        <v>207</v>
      </c>
      <c r="S27" s="58" t="s">
        <v>206</v>
      </c>
      <c r="T27" s="33"/>
      <c r="U27" s="34" t="s">
        <v>218</v>
      </c>
      <c r="V27" s="45"/>
      <c r="W27" s="38"/>
      <c r="X27" s="47"/>
    </row>
    <row r="28" spans="2:24" s="1" customFormat="1" ht="16.5" customHeight="1" x14ac:dyDescent="0.3">
      <c r="B28" s="1" t="s">
        <v>358</v>
      </c>
      <c r="C28" s="32"/>
      <c r="D28" s="38">
        <v>6</v>
      </c>
      <c r="E28" s="43" t="s">
        <v>219</v>
      </c>
      <c r="F28" s="38" t="s">
        <v>210</v>
      </c>
      <c r="G28" s="44" t="s">
        <v>205</v>
      </c>
      <c r="H28" s="58" t="s">
        <v>220</v>
      </c>
      <c r="I28" s="33"/>
      <c r="J28" s="34" t="s">
        <v>221</v>
      </c>
      <c r="K28" s="45"/>
      <c r="L28" s="46"/>
      <c r="M28" s="46" t="s">
        <v>360</v>
      </c>
      <c r="N28" s="21"/>
      <c r="O28" s="38">
        <v>6</v>
      </c>
      <c r="P28" s="43" t="s">
        <v>219</v>
      </c>
      <c r="Q28" s="38" t="s">
        <v>210</v>
      </c>
      <c r="R28" s="44" t="s">
        <v>207</v>
      </c>
      <c r="S28" s="58" t="s">
        <v>220</v>
      </c>
      <c r="T28" s="33"/>
      <c r="U28" s="34" t="s">
        <v>221</v>
      </c>
      <c r="V28" s="45"/>
      <c r="W28" s="38"/>
      <c r="X28" s="47"/>
    </row>
    <row r="29" spans="2:24" s="1" customFormat="1" ht="16.5" customHeight="1" x14ac:dyDescent="0.3">
      <c r="B29" s="1" t="s">
        <v>358</v>
      </c>
      <c r="C29" s="32"/>
      <c r="D29" s="38">
        <v>7</v>
      </c>
      <c r="E29" s="43" t="s">
        <v>222</v>
      </c>
      <c r="F29" s="38" t="s">
        <v>210</v>
      </c>
      <c r="G29" s="44" t="s">
        <v>205</v>
      </c>
      <c r="H29" s="58" t="s">
        <v>223</v>
      </c>
      <c r="I29" s="33"/>
      <c r="J29" s="34" t="s">
        <v>224</v>
      </c>
      <c r="K29" s="45"/>
      <c r="L29" s="46"/>
      <c r="M29" s="46" t="s">
        <v>360</v>
      </c>
      <c r="N29" s="21"/>
      <c r="O29" s="38">
        <v>7</v>
      </c>
      <c r="P29" s="43" t="s">
        <v>222</v>
      </c>
      <c r="Q29" s="38" t="s">
        <v>210</v>
      </c>
      <c r="R29" s="44" t="s">
        <v>207</v>
      </c>
      <c r="S29" s="58" t="s">
        <v>223</v>
      </c>
      <c r="T29" s="33"/>
      <c r="U29" s="34" t="s">
        <v>224</v>
      </c>
      <c r="V29" s="45"/>
      <c r="W29" s="38"/>
      <c r="X29" s="47"/>
    </row>
    <row r="30" spans="2:24" s="1" customFormat="1" ht="16.5" customHeight="1" x14ac:dyDescent="0.3">
      <c r="B30" s="1" t="s">
        <v>358</v>
      </c>
      <c r="C30" s="32"/>
      <c r="D30" s="38">
        <v>8</v>
      </c>
      <c r="E30" s="43" t="s">
        <v>225</v>
      </c>
      <c r="F30" s="38" t="s">
        <v>210</v>
      </c>
      <c r="G30" s="44" t="s">
        <v>209</v>
      </c>
      <c r="H30" s="58" t="s">
        <v>210</v>
      </c>
      <c r="I30" s="33"/>
      <c r="J30" s="34" t="s">
        <v>226</v>
      </c>
      <c r="K30" s="45"/>
      <c r="L30" s="46"/>
      <c r="M30" s="46" t="s">
        <v>360</v>
      </c>
      <c r="N30" s="21"/>
      <c r="O30" s="38">
        <v>8</v>
      </c>
      <c r="P30" s="43" t="s">
        <v>225</v>
      </c>
      <c r="Q30" s="38" t="s">
        <v>210</v>
      </c>
      <c r="R30" s="44" t="s">
        <v>212</v>
      </c>
      <c r="S30" s="58" t="s">
        <v>210</v>
      </c>
      <c r="T30" s="33"/>
      <c r="U30" s="34" t="s">
        <v>226</v>
      </c>
      <c r="V30" s="45"/>
      <c r="W30" s="38"/>
      <c r="X30" s="47"/>
    </row>
    <row r="31" spans="2:24" s="1" customFormat="1" ht="16.5" customHeight="1" x14ac:dyDescent="0.3">
      <c r="B31" s="1" t="s">
        <v>358</v>
      </c>
      <c r="C31" s="32"/>
      <c r="D31" s="38">
        <v>9</v>
      </c>
      <c r="E31" s="74" t="s">
        <v>376</v>
      </c>
      <c r="F31" s="38" t="s">
        <v>210</v>
      </c>
      <c r="G31" s="44" t="s">
        <v>209</v>
      </c>
      <c r="H31" s="58" t="s">
        <v>210</v>
      </c>
      <c r="I31" s="33"/>
      <c r="J31" s="34" t="s">
        <v>228</v>
      </c>
      <c r="K31" s="45"/>
      <c r="L31" s="46"/>
      <c r="M31" s="46" t="s">
        <v>360</v>
      </c>
      <c r="N31" s="21"/>
      <c r="O31" s="38">
        <v>9</v>
      </c>
      <c r="P31" s="43" t="s">
        <v>227</v>
      </c>
      <c r="Q31" s="38" t="s">
        <v>210</v>
      </c>
      <c r="R31" s="44" t="s">
        <v>212</v>
      </c>
      <c r="S31" s="58" t="s">
        <v>210</v>
      </c>
      <c r="T31" s="33"/>
      <c r="U31" s="34" t="s">
        <v>228</v>
      </c>
      <c r="V31" s="45"/>
      <c r="W31" s="38"/>
      <c r="X31" s="47" t="s">
        <v>229</v>
      </c>
    </row>
    <row r="32" spans="2:24" s="1" customFormat="1" ht="16.5" customHeight="1" x14ac:dyDescent="0.3">
      <c r="B32" s="1" t="s">
        <v>358</v>
      </c>
      <c r="C32" s="32"/>
      <c r="D32" s="38">
        <v>10</v>
      </c>
      <c r="E32" s="43" t="s">
        <v>230</v>
      </c>
      <c r="F32" s="38" t="s">
        <v>210</v>
      </c>
      <c r="G32" s="44" t="s">
        <v>205</v>
      </c>
      <c r="H32" s="58" t="s">
        <v>220</v>
      </c>
      <c r="I32" s="33"/>
      <c r="J32" s="34" t="s">
        <v>231</v>
      </c>
      <c r="K32" s="45"/>
      <c r="L32" s="46"/>
      <c r="M32" s="46" t="s">
        <v>360</v>
      </c>
      <c r="N32" s="21"/>
      <c r="O32" s="38">
        <v>10</v>
      </c>
      <c r="P32" s="43" t="s">
        <v>230</v>
      </c>
      <c r="Q32" s="38" t="s">
        <v>210</v>
      </c>
      <c r="R32" s="44" t="s">
        <v>207</v>
      </c>
      <c r="S32" s="58" t="s">
        <v>220</v>
      </c>
      <c r="T32" s="33"/>
      <c r="U32" s="34" t="s">
        <v>231</v>
      </c>
      <c r="V32" s="45"/>
      <c r="W32" s="38"/>
      <c r="X32" s="47"/>
    </row>
    <row r="33" spans="2:24" s="1" customFormat="1" ht="16.5" customHeight="1" x14ac:dyDescent="0.3">
      <c r="B33" s="1" t="s">
        <v>358</v>
      </c>
      <c r="C33" s="32"/>
      <c r="D33" s="38">
        <v>11</v>
      </c>
      <c r="E33" s="74" t="s">
        <v>375</v>
      </c>
      <c r="F33" s="38" t="s">
        <v>210</v>
      </c>
      <c r="G33" s="44" t="s">
        <v>205</v>
      </c>
      <c r="H33" s="58" t="s">
        <v>223</v>
      </c>
      <c r="I33" s="33"/>
      <c r="J33" s="34" t="s">
        <v>233</v>
      </c>
      <c r="K33" s="45"/>
      <c r="L33" s="46"/>
      <c r="M33" s="46" t="s">
        <v>360</v>
      </c>
      <c r="N33" s="21"/>
      <c r="O33" s="38">
        <v>11</v>
      </c>
      <c r="P33" s="43" t="s">
        <v>232</v>
      </c>
      <c r="Q33" s="38" t="s">
        <v>210</v>
      </c>
      <c r="R33" s="44" t="s">
        <v>207</v>
      </c>
      <c r="S33" s="58" t="s">
        <v>223</v>
      </c>
      <c r="T33" s="33"/>
      <c r="U33" s="34" t="s">
        <v>233</v>
      </c>
      <c r="V33" s="45"/>
      <c r="W33" s="38"/>
      <c r="X33" s="47" t="s">
        <v>234</v>
      </c>
    </row>
    <row r="34" spans="2:24" s="1" customFormat="1" ht="16.5" customHeight="1" x14ac:dyDescent="0.3">
      <c r="B34" s="1" t="s">
        <v>358</v>
      </c>
      <c r="C34" s="32"/>
      <c r="D34" s="38">
        <v>12</v>
      </c>
      <c r="E34" s="43" t="s">
        <v>373</v>
      </c>
      <c r="F34" s="38" t="s">
        <v>210</v>
      </c>
      <c r="G34" s="44" t="s">
        <v>209</v>
      </c>
      <c r="H34" s="58" t="s">
        <v>210</v>
      </c>
      <c r="I34" s="33"/>
      <c r="J34" s="34" t="s">
        <v>236</v>
      </c>
      <c r="K34" s="45"/>
      <c r="L34" s="46"/>
      <c r="M34" s="46" t="s">
        <v>360</v>
      </c>
      <c r="N34" s="21"/>
      <c r="O34" s="38">
        <v>12</v>
      </c>
      <c r="P34" s="43" t="s">
        <v>235</v>
      </c>
      <c r="Q34" s="38" t="s">
        <v>210</v>
      </c>
      <c r="R34" s="44" t="s">
        <v>212</v>
      </c>
      <c r="S34" s="58" t="s">
        <v>210</v>
      </c>
      <c r="T34" s="33"/>
      <c r="U34" s="34" t="s">
        <v>236</v>
      </c>
      <c r="V34" s="45"/>
      <c r="W34" s="38"/>
      <c r="X34" s="47"/>
    </row>
    <row r="35" spans="2:24" s="1" customFormat="1" ht="16.5" customHeight="1" x14ac:dyDescent="0.3">
      <c r="B35" s="1" t="s">
        <v>358</v>
      </c>
      <c r="C35" s="32"/>
      <c r="D35" s="38">
        <v>13</v>
      </c>
      <c r="E35" s="74" t="s">
        <v>374</v>
      </c>
      <c r="F35" s="38" t="s">
        <v>210</v>
      </c>
      <c r="G35" s="44" t="s">
        <v>209</v>
      </c>
      <c r="H35" s="58" t="s">
        <v>210</v>
      </c>
      <c r="I35" s="33"/>
      <c r="J35" s="34" t="s">
        <v>238</v>
      </c>
      <c r="K35" s="45"/>
      <c r="L35" s="46"/>
      <c r="M35" s="46" t="s">
        <v>360</v>
      </c>
      <c r="N35" s="21"/>
      <c r="O35" s="38">
        <v>13</v>
      </c>
      <c r="P35" s="43" t="s">
        <v>237</v>
      </c>
      <c r="Q35" s="38" t="s">
        <v>210</v>
      </c>
      <c r="R35" s="44" t="s">
        <v>212</v>
      </c>
      <c r="S35" s="58" t="s">
        <v>210</v>
      </c>
      <c r="T35" s="33"/>
      <c r="U35" s="34" t="s">
        <v>238</v>
      </c>
      <c r="V35" s="45"/>
      <c r="W35" s="38"/>
      <c r="X35" s="47" t="s">
        <v>239</v>
      </c>
    </row>
    <row r="36" spans="2:24" s="1" customFormat="1" ht="16.5" customHeight="1" x14ac:dyDescent="0.3">
      <c r="B36" s="1" t="s">
        <v>358</v>
      </c>
      <c r="C36" s="32"/>
      <c r="D36" s="38">
        <v>14</v>
      </c>
      <c r="E36" s="43" t="s">
        <v>240</v>
      </c>
      <c r="F36" s="38" t="s">
        <v>204</v>
      </c>
      <c r="G36" s="44" t="s">
        <v>205</v>
      </c>
      <c r="H36" s="58" t="s">
        <v>220</v>
      </c>
      <c r="I36" s="33"/>
      <c r="J36" s="34" t="s">
        <v>241</v>
      </c>
      <c r="K36" s="45"/>
      <c r="L36" s="46"/>
      <c r="M36" s="46" t="s">
        <v>360</v>
      </c>
      <c r="N36" s="21"/>
      <c r="O36" s="38">
        <v>14</v>
      </c>
      <c r="P36" s="43" t="s">
        <v>240</v>
      </c>
      <c r="Q36" s="38" t="s">
        <v>204</v>
      </c>
      <c r="R36" s="44" t="s">
        <v>207</v>
      </c>
      <c r="S36" s="58" t="s">
        <v>220</v>
      </c>
      <c r="T36" s="33"/>
      <c r="U36" s="34" t="s">
        <v>241</v>
      </c>
      <c r="V36" s="45"/>
      <c r="W36" s="38"/>
      <c r="X36" s="47"/>
    </row>
    <row r="37" spans="2:24" s="1" customFormat="1" ht="16.5" customHeight="1" x14ac:dyDescent="0.3">
      <c r="B37" s="1" t="s">
        <v>358</v>
      </c>
      <c r="C37" s="32"/>
      <c r="D37" s="38">
        <v>15</v>
      </c>
      <c r="E37" s="43" t="s">
        <v>242</v>
      </c>
      <c r="F37" s="38" t="s">
        <v>210</v>
      </c>
      <c r="G37" s="44" t="s">
        <v>205</v>
      </c>
      <c r="H37" s="58" t="s">
        <v>223</v>
      </c>
      <c r="I37" s="33"/>
      <c r="J37" s="34" t="s">
        <v>243</v>
      </c>
      <c r="K37" s="45"/>
      <c r="L37" s="46"/>
      <c r="M37" s="46" t="s">
        <v>360</v>
      </c>
      <c r="N37" s="21"/>
      <c r="O37" s="38">
        <v>15</v>
      </c>
      <c r="P37" s="43" t="s">
        <v>242</v>
      </c>
      <c r="Q37" s="38" t="s">
        <v>210</v>
      </c>
      <c r="R37" s="44" t="s">
        <v>207</v>
      </c>
      <c r="S37" s="58" t="s">
        <v>223</v>
      </c>
      <c r="T37" s="33"/>
      <c r="U37" s="34" t="s">
        <v>243</v>
      </c>
      <c r="V37" s="45"/>
      <c r="W37" s="38"/>
      <c r="X37" s="47"/>
    </row>
    <row r="38" spans="2:24" s="1" customFormat="1" ht="16.5" customHeight="1" x14ac:dyDescent="0.3">
      <c r="B38" s="1" t="s">
        <v>358</v>
      </c>
      <c r="C38" s="32"/>
      <c r="D38" s="38">
        <v>16</v>
      </c>
      <c r="E38" s="43" t="s">
        <v>244</v>
      </c>
      <c r="F38" s="38" t="s">
        <v>210</v>
      </c>
      <c r="G38" s="44" t="s">
        <v>209</v>
      </c>
      <c r="H38" s="58" t="s">
        <v>210</v>
      </c>
      <c r="I38" s="33"/>
      <c r="J38" s="34" t="s">
        <v>245</v>
      </c>
      <c r="K38" s="45"/>
      <c r="L38" s="46"/>
      <c r="M38" s="46" t="s">
        <v>360</v>
      </c>
      <c r="N38" s="21"/>
      <c r="O38" s="38">
        <v>16</v>
      </c>
      <c r="P38" s="43" t="s">
        <v>244</v>
      </c>
      <c r="Q38" s="38" t="s">
        <v>210</v>
      </c>
      <c r="R38" s="44" t="s">
        <v>212</v>
      </c>
      <c r="S38" s="58" t="s">
        <v>210</v>
      </c>
      <c r="T38" s="33"/>
      <c r="U38" s="34" t="s">
        <v>245</v>
      </c>
      <c r="V38" s="45"/>
      <c r="W38" s="38"/>
      <c r="X38" s="47"/>
    </row>
    <row r="39" spans="2:24" s="1" customFormat="1" ht="16.5" customHeight="1" x14ac:dyDescent="0.3">
      <c r="B39" s="1" t="s">
        <v>358</v>
      </c>
      <c r="C39" s="32"/>
      <c r="D39" s="38">
        <v>17</v>
      </c>
      <c r="E39" s="74" t="s">
        <v>372</v>
      </c>
      <c r="F39" s="38" t="s">
        <v>210</v>
      </c>
      <c r="G39" s="44" t="s">
        <v>209</v>
      </c>
      <c r="H39" s="58" t="s">
        <v>210</v>
      </c>
      <c r="I39" s="33"/>
      <c r="J39" s="34" t="s">
        <v>247</v>
      </c>
      <c r="K39" s="45"/>
      <c r="L39" s="46"/>
      <c r="M39" s="46" t="s">
        <v>360</v>
      </c>
      <c r="N39" s="21"/>
      <c r="O39" s="38">
        <v>17</v>
      </c>
      <c r="P39" s="43" t="s">
        <v>246</v>
      </c>
      <c r="Q39" s="38" t="s">
        <v>210</v>
      </c>
      <c r="R39" s="44" t="s">
        <v>212</v>
      </c>
      <c r="S39" s="58" t="s">
        <v>210</v>
      </c>
      <c r="T39" s="33"/>
      <c r="U39" s="34" t="s">
        <v>247</v>
      </c>
      <c r="V39" s="45"/>
      <c r="W39" s="38"/>
      <c r="X39" s="47" t="s">
        <v>248</v>
      </c>
    </row>
    <row r="40" spans="2:24" s="1" customFormat="1" ht="16.5" customHeight="1" x14ac:dyDescent="0.3">
      <c r="B40" s="1" t="s">
        <v>358</v>
      </c>
      <c r="C40" s="32"/>
      <c r="D40" s="38">
        <v>18</v>
      </c>
      <c r="E40" s="43" t="s">
        <v>249</v>
      </c>
      <c r="F40" s="38" t="s">
        <v>210</v>
      </c>
      <c r="G40" s="44" t="s">
        <v>209</v>
      </c>
      <c r="H40" s="58" t="s">
        <v>210</v>
      </c>
      <c r="I40" s="33"/>
      <c r="J40" s="34" t="s">
        <v>250</v>
      </c>
      <c r="K40" s="45"/>
      <c r="L40" s="46"/>
      <c r="M40" s="46" t="s">
        <v>360</v>
      </c>
      <c r="N40" s="21"/>
      <c r="O40" s="38">
        <v>18</v>
      </c>
      <c r="P40" s="43" t="s">
        <v>249</v>
      </c>
      <c r="Q40" s="38" t="s">
        <v>210</v>
      </c>
      <c r="R40" s="44" t="s">
        <v>212</v>
      </c>
      <c r="S40" s="58" t="s">
        <v>210</v>
      </c>
      <c r="T40" s="33"/>
      <c r="U40" s="34" t="s">
        <v>250</v>
      </c>
      <c r="V40" s="45"/>
      <c r="W40" s="38"/>
      <c r="X40" s="47"/>
    </row>
    <row r="41" spans="2:24" s="1" customFormat="1" ht="16.5" customHeight="1" x14ac:dyDescent="0.3">
      <c r="B41" s="1" t="s">
        <v>358</v>
      </c>
      <c r="C41" s="32"/>
      <c r="D41" s="38">
        <v>19</v>
      </c>
      <c r="E41" s="43" t="s">
        <v>251</v>
      </c>
      <c r="F41" s="38" t="s">
        <v>210</v>
      </c>
      <c r="G41" s="44" t="s">
        <v>209</v>
      </c>
      <c r="H41" s="58" t="s">
        <v>210</v>
      </c>
      <c r="I41" s="33"/>
      <c r="J41" s="34" t="s">
        <v>252</v>
      </c>
      <c r="K41" s="45"/>
      <c r="L41" s="46"/>
      <c r="M41" s="46" t="s">
        <v>360</v>
      </c>
      <c r="N41" s="21"/>
      <c r="O41" s="38">
        <v>19</v>
      </c>
      <c r="P41" s="43" t="s">
        <v>251</v>
      </c>
      <c r="Q41" s="38" t="s">
        <v>210</v>
      </c>
      <c r="R41" s="44" t="s">
        <v>212</v>
      </c>
      <c r="S41" s="58" t="s">
        <v>210</v>
      </c>
      <c r="T41" s="33"/>
      <c r="U41" s="34" t="s">
        <v>252</v>
      </c>
      <c r="V41" s="45"/>
      <c r="W41" s="38"/>
      <c r="X41" s="47"/>
    </row>
    <row r="42" spans="2:24" s="1" customFormat="1" ht="16.5" customHeight="1" x14ac:dyDescent="0.3">
      <c r="B42" s="1" t="s">
        <v>358</v>
      </c>
      <c r="C42" s="32"/>
      <c r="D42" s="38">
        <v>20</v>
      </c>
      <c r="E42" s="43" t="s">
        <v>253</v>
      </c>
      <c r="F42" s="38" t="s">
        <v>210</v>
      </c>
      <c r="G42" s="44" t="s">
        <v>205</v>
      </c>
      <c r="H42" s="58" t="s">
        <v>254</v>
      </c>
      <c r="I42" s="33"/>
      <c r="J42" s="34" t="s">
        <v>255</v>
      </c>
      <c r="K42" s="45"/>
      <c r="L42" s="46"/>
      <c r="M42" s="46" t="s">
        <v>360</v>
      </c>
      <c r="N42" s="21"/>
      <c r="O42" s="38">
        <v>20</v>
      </c>
      <c r="P42" s="43" t="s">
        <v>253</v>
      </c>
      <c r="Q42" s="38" t="s">
        <v>210</v>
      </c>
      <c r="R42" s="44" t="s">
        <v>207</v>
      </c>
      <c r="S42" s="58" t="s">
        <v>254</v>
      </c>
      <c r="T42" s="33"/>
      <c r="U42" s="34" t="s">
        <v>255</v>
      </c>
      <c r="V42" s="45"/>
      <c r="W42" s="38"/>
      <c r="X42" s="47"/>
    </row>
    <row r="43" spans="2:24" s="1" customFormat="1" ht="16.5" customHeight="1" x14ac:dyDescent="0.3">
      <c r="B43" s="1" t="s">
        <v>358</v>
      </c>
      <c r="C43" s="32"/>
      <c r="D43" s="38">
        <v>21</v>
      </c>
      <c r="E43" s="43" t="s">
        <v>256</v>
      </c>
      <c r="F43" s="38" t="s">
        <v>210</v>
      </c>
      <c r="G43" s="44" t="s">
        <v>205</v>
      </c>
      <c r="H43" s="58" t="s">
        <v>220</v>
      </c>
      <c r="I43" s="33"/>
      <c r="J43" s="34" t="s">
        <v>257</v>
      </c>
      <c r="K43" s="45"/>
      <c r="L43" s="46"/>
      <c r="M43" s="46" t="s">
        <v>360</v>
      </c>
      <c r="N43" s="21"/>
      <c r="O43" s="38">
        <v>21</v>
      </c>
      <c r="P43" s="43" t="s">
        <v>256</v>
      </c>
      <c r="Q43" s="38" t="s">
        <v>210</v>
      </c>
      <c r="R43" s="44" t="s">
        <v>207</v>
      </c>
      <c r="S43" s="58" t="s">
        <v>220</v>
      </c>
      <c r="T43" s="33"/>
      <c r="U43" s="34" t="s">
        <v>257</v>
      </c>
      <c r="V43" s="45"/>
      <c r="W43" s="38"/>
      <c r="X43" s="47"/>
    </row>
    <row r="44" spans="2:24" s="1" customFormat="1" ht="16.5" customHeight="1" x14ac:dyDescent="0.3">
      <c r="B44" s="1" t="s">
        <v>358</v>
      </c>
      <c r="C44" s="32"/>
      <c r="D44" s="38">
        <v>22</v>
      </c>
      <c r="E44" s="43" t="s">
        <v>258</v>
      </c>
      <c r="F44" s="38" t="s">
        <v>210</v>
      </c>
      <c r="G44" s="44" t="s">
        <v>209</v>
      </c>
      <c r="H44" s="58" t="s">
        <v>210</v>
      </c>
      <c r="I44" s="33"/>
      <c r="J44" s="34" t="s">
        <v>259</v>
      </c>
      <c r="K44" s="45"/>
      <c r="L44" s="46"/>
      <c r="M44" s="46" t="s">
        <v>360</v>
      </c>
      <c r="N44" s="21"/>
      <c r="O44" s="38">
        <v>22</v>
      </c>
      <c r="P44" s="43" t="s">
        <v>258</v>
      </c>
      <c r="Q44" s="38" t="s">
        <v>210</v>
      </c>
      <c r="R44" s="44" t="s">
        <v>212</v>
      </c>
      <c r="S44" s="58" t="s">
        <v>210</v>
      </c>
      <c r="T44" s="33"/>
      <c r="U44" s="34" t="s">
        <v>259</v>
      </c>
      <c r="V44" s="45"/>
      <c r="W44" s="38"/>
      <c r="X44" s="47"/>
    </row>
    <row r="45" spans="2:24" s="1" customFormat="1" ht="16.5" customHeight="1" x14ac:dyDescent="0.3">
      <c r="B45" s="1" t="s">
        <v>358</v>
      </c>
      <c r="C45" s="32"/>
      <c r="D45" s="38">
        <v>23</v>
      </c>
      <c r="E45" s="43" t="s">
        <v>260</v>
      </c>
      <c r="F45" s="38" t="s">
        <v>210</v>
      </c>
      <c r="G45" s="44" t="s">
        <v>205</v>
      </c>
      <c r="H45" s="58" t="s">
        <v>261</v>
      </c>
      <c r="I45" s="33"/>
      <c r="J45" s="34" t="s">
        <v>262</v>
      </c>
      <c r="K45" s="45"/>
      <c r="L45" s="46"/>
      <c r="M45" s="46" t="s">
        <v>360</v>
      </c>
      <c r="N45" s="21"/>
      <c r="O45" s="38">
        <v>23</v>
      </c>
      <c r="P45" s="43" t="s">
        <v>260</v>
      </c>
      <c r="Q45" s="38" t="s">
        <v>210</v>
      </c>
      <c r="R45" s="44" t="s">
        <v>207</v>
      </c>
      <c r="S45" s="58" t="s">
        <v>261</v>
      </c>
      <c r="T45" s="33"/>
      <c r="U45" s="34" t="s">
        <v>262</v>
      </c>
      <c r="V45" s="45"/>
      <c r="W45" s="38"/>
      <c r="X45" s="47"/>
    </row>
    <row r="46" spans="2:24" s="1" customFormat="1" ht="16.5" customHeight="1" x14ac:dyDescent="0.3">
      <c r="B46" s="1" t="s">
        <v>358</v>
      </c>
      <c r="C46" s="32"/>
      <c r="D46" s="38">
        <v>24</v>
      </c>
      <c r="E46" s="43" t="s">
        <v>263</v>
      </c>
      <c r="F46" s="38" t="s">
        <v>210</v>
      </c>
      <c r="G46" s="44" t="s">
        <v>205</v>
      </c>
      <c r="H46" s="58" t="s">
        <v>261</v>
      </c>
      <c r="I46" s="33"/>
      <c r="J46" s="34" t="s">
        <v>264</v>
      </c>
      <c r="K46" s="45"/>
      <c r="L46" s="46"/>
      <c r="M46" s="46" t="s">
        <v>360</v>
      </c>
      <c r="N46" s="21"/>
      <c r="O46" s="38">
        <v>24</v>
      </c>
      <c r="P46" s="43" t="s">
        <v>263</v>
      </c>
      <c r="Q46" s="38" t="s">
        <v>210</v>
      </c>
      <c r="R46" s="44" t="s">
        <v>207</v>
      </c>
      <c r="S46" s="58" t="s">
        <v>261</v>
      </c>
      <c r="T46" s="33"/>
      <c r="U46" s="34" t="s">
        <v>264</v>
      </c>
      <c r="V46" s="45"/>
      <c r="W46" s="38"/>
      <c r="X46" s="47"/>
    </row>
    <row r="47" spans="2:24" s="1" customFormat="1" ht="16.5" customHeight="1" x14ac:dyDescent="0.3">
      <c r="B47" s="1" t="s">
        <v>358</v>
      </c>
      <c r="C47" s="32"/>
      <c r="D47" s="38">
        <v>25</v>
      </c>
      <c r="E47" s="43" t="s">
        <v>265</v>
      </c>
      <c r="F47" s="38" t="s">
        <v>210</v>
      </c>
      <c r="G47" s="44" t="s">
        <v>205</v>
      </c>
      <c r="H47" s="58" t="s">
        <v>261</v>
      </c>
      <c r="I47" s="33"/>
      <c r="J47" s="34" t="s">
        <v>266</v>
      </c>
      <c r="K47" s="45"/>
      <c r="L47" s="46"/>
      <c r="M47" s="46" t="s">
        <v>360</v>
      </c>
      <c r="N47" s="21"/>
      <c r="O47" s="38">
        <v>25</v>
      </c>
      <c r="P47" s="43" t="s">
        <v>265</v>
      </c>
      <c r="Q47" s="38" t="s">
        <v>210</v>
      </c>
      <c r="R47" s="44" t="s">
        <v>207</v>
      </c>
      <c r="S47" s="58" t="s">
        <v>261</v>
      </c>
      <c r="T47" s="33"/>
      <c r="U47" s="34" t="s">
        <v>266</v>
      </c>
      <c r="V47" s="45"/>
      <c r="W47" s="38"/>
      <c r="X47" s="47"/>
    </row>
    <row r="48" spans="2:24" s="1" customFormat="1" ht="16.5" customHeight="1" x14ac:dyDescent="0.3">
      <c r="B48" s="1" t="s">
        <v>358</v>
      </c>
      <c r="C48" s="32"/>
      <c r="D48" s="38">
        <v>26</v>
      </c>
      <c r="E48" s="43" t="s">
        <v>267</v>
      </c>
      <c r="F48" s="38" t="s">
        <v>210</v>
      </c>
      <c r="G48" s="44" t="s">
        <v>209</v>
      </c>
      <c r="H48" s="58" t="s">
        <v>210</v>
      </c>
      <c r="I48" s="33"/>
      <c r="J48" s="34" t="s">
        <v>268</v>
      </c>
      <c r="K48" s="45"/>
      <c r="L48" s="46"/>
      <c r="M48" s="46" t="s">
        <v>360</v>
      </c>
      <c r="N48" s="21"/>
      <c r="O48" s="38">
        <v>26</v>
      </c>
      <c r="P48" s="43" t="s">
        <v>267</v>
      </c>
      <c r="Q48" s="38" t="s">
        <v>210</v>
      </c>
      <c r="R48" s="44" t="s">
        <v>212</v>
      </c>
      <c r="S48" s="58" t="s">
        <v>210</v>
      </c>
      <c r="T48" s="33"/>
      <c r="U48" s="34" t="s">
        <v>268</v>
      </c>
      <c r="V48" s="45"/>
      <c r="W48" s="38"/>
      <c r="X48" s="47"/>
    </row>
    <row r="49" spans="2:24" s="1" customFormat="1" ht="16.5" customHeight="1" x14ac:dyDescent="0.3">
      <c r="B49" s="1" t="s">
        <v>358</v>
      </c>
      <c r="C49" s="32"/>
      <c r="D49" s="38">
        <v>27</v>
      </c>
      <c r="E49" s="43" t="s">
        <v>269</v>
      </c>
      <c r="F49" s="38" t="s">
        <v>210</v>
      </c>
      <c r="G49" s="44" t="s">
        <v>270</v>
      </c>
      <c r="H49" s="58" t="s">
        <v>210</v>
      </c>
      <c r="I49" s="33"/>
      <c r="J49" s="34" t="s">
        <v>271</v>
      </c>
      <c r="K49" s="45"/>
      <c r="L49" s="46"/>
      <c r="M49" s="46" t="s">
        <v>360</v>
      </c>
      <c r="N49" s="21"/>
      <c r="O49" s="38">
        <v>27</v>
      </c>
      <c r="P49" s="43" t="s">
        <v>269</v>
      </c>
      <c r="Q49" s="38" t="s">
        <v>210</v>
      </c>
      <c r="R49" s="44" t="s">
        <v>272</v>
      </c>
      <c r="S49" s="58" t="s">
        <v>210</v>
      </c>
      <c r="T49" s="33"/>
      <c r="U49" s="34" t="s">
        <v>271</v>
      </c>
      <c r="V49" s="45"/>
      <c r="W49" s="38"/>
      <c r="X49" s="47"/>
    </row>
    <row r="50" spans="2:24" s="1" customFormat="1" ht="16.5" customHeight="1" x14ac:dyDescent="0.3">
      <c r="B50" s="1" t="s">
        <v>358</v>
      </c>
      <c r="C50" s="32"/>
      <c r="D50" s="38">
        <v>28</v>
      </c>
      <c r="E50" s="43" t="s">
        <v>273</v>
      </c>
      <c r="F50" s="38" t="s">
        <v>210</v>
      </c>
      <c r="G50" s="44" t="s">
        <v>209</v>
      </c>
      <c r="H50" s="58" t="s">
        <v>210</v>
      </c>
      <c r="I50" s="33"/>
      <c r="J50" s="34" t="s">
        <v>274</v>
      </c>
      <c r="K50" s="45"/>
      <c r="L50" s="46"/>
      <c r="M50" s="46" t="s">
        <v>360</v>
      </c>
      <c r="N50" s="21"/>
      <c r="O50" s="38">
        <v>28</v>
      </c>
      <c r="P50" s="43" t="s">
        <v>273</v>
      </c>
      <c r="Q50" s="38" t="s">
        <v>210</v>
      </c>
      <c r="R50" s="44" t="s">
        <v>212</v>
      </c>
      <c r="S50" s="58" t="s">
        <v>210</v>
      </c>
      <c r="T50" s="33"/>
      <c r="U50" s="34" t="s">
        <v>274</v>
      </c>
      <c r="V50" s="45"/>
      <c r="W50" s="38"/>
      <c r="X50" s="47"/>
    </row>
    <row r="51" spans="2:24" s="1" customFormat="1" ht="16.5" customHeight="1" x14ac:dyDescent="0.3">
      <c r="B51" s="1" t="s">
        <v>358</v>
      </c>
      <c r="C51" s="32"/>
      <c r="D51" s="38">
        <v>29</v>
      </c>
      <c r="E51" s="43" t="s">
        <v>275</v>
      </c>
      <c r="F51" s="38" t="s">
        <v>210</v>
      </c>
      <c r="G51" s="44" t="s">
        <v>270</v>
      </c>
      <c r="H51" s="58" t="s">
        <v>210</v>
      </c>
      <c r="I51" s="33"/>
      <c r="J51" s="34" t="s">
        <v>276</v>
      </c>
      <c r="K51" s="45"/>
      <c r="L51" s="46"/>
      <c r="M51" s="46" t="s">
        <v>360</v>
      </c>
      <c r="N51" s="21"/>
      <c r="O51" s="38">
        <v>29</v>
      </c>
      <c r="P51" s="43" t="s">
        <v>275</v>
      </c>
      <c r="Q51" s="38" t="s">
        <v>210</v>
      </c>
      <c r="R51" s="44" t="s">
        <v>272</v>
      </c>
      <c r="S51" s="58" t="s">
        <v>210</v>
      </c>
      <c r="T51" s="33"/>
      <c r="U51" s="34" t="s">
        <v>276</v>
      </c>
      <c r="V51" s="45"/>
      <c r="W51" s="38"/>
      <c r="X51" s="47"/>
    </row>
    <row r="52" spans="2:24" s="1" customFormat="1" ht="16.5" customHeight="1" x14ac:dyDescent="0.3">
      <c r="B52" s="1" t="s">
        <v>358</v>
      </c>
      <c r="C52" s="32"/>
      <c r="D52" s="38">
        <v>30</v>
      </c>
      <c r="E52" s="43" t="s">
        <v>277</v>
      </c>
      <c r="F52" s="38" t="s">
        <v>210</v>
      </c>
      <c r="G52" s="44" t="s">
        <v>209</v>
      </c>
      <c r="H52" s="58" t="s">
        <v>210</v>
      </c>
      <c r="I52" s="33"/>
      <c r="J52" s="34" t="s">
        <v>278</v>
      </c>
      <c r="K52" s="45"/>
      <c r="L52" s="46"/>
      <c r="M52" s="46" t="s">
        <v>360</v>
      </c>
      <c r="N52" s="21"/>
      <c r="O52" s="38">
        <v>30</v>
      </c>
      <c r="P52" s="43" t="s">
        <v>277</v>
      </c>
      <c r="Q52" s="38" t="s">
        <v>210</v>
      </c>
      <c r="R52" s="44" t="s">
        <v>212</v>
      </c>
      <c r="S52" s="58" t="s">
        <v>210</v>
      </c>
      <c r="T52" s="33"/>
      <c r="U52" s="34" t="s">
        <v>278</v>
      </c>
      <c r="V52" s="45"/>
      <c r="W52" s="38"/>
      <c r="X52" s="47"/>
    </row>
    <row r="53" spans="2:24" s="1" customFormat="1" ht="16.5" customHeight="1" x14ac:dyDescent="0.3">
      <c r="B53" s="1" t="s">
        <v>358</v>
      </c>
      <c r="C53" s="32"/>
      <c r="D53" s="38">
        <v>31</v>
      </c>
      <c r="E53" s="43" t="s">
        <v>279</v>
      </c>
      <c r="F53" s="38" t="s">
        <v>210</v>
      </c>
      <c r="G53" s="44" t="s">
        <v>205</v>
      </c>
      <c r="H53" s="58" t="s">
        <v>220</v>
      </c>
      <c r="I53" s="33"/>
      <c r="J53" s="34" t="s">
        <v>280</v>
      </c>
      <c r="K53" s="45"/>
      <c r="L53" s="46"/>
      <c r="M53" s="46" t="s">
        <v>360</v>
      </c>
      <c r="N53" s="21"/>
      <c r="O53" s="38">
        <v>31</v>
      </c>
      <c r="P53" s="43" t="s">
        <v>279</v>
      </c>
      <c r="Q53" s="38" t="s">
        <v>210</v>
      </c>
      <c r="R53" s="44" t="s">
        <v>207</v>
      </c>
      <c r="S53" s="58" t="s">
        <v>220</v>
      </c>
      <c r="T53" s="33"/>
      <c r="U53" s="34" t="s">
        <v>280</v>
      </c>
      <c r="V53" s="45"/>
      <c r="W53" s="38"/>
      <c r="X53" s="47"/>
    </row>
    <row r="54" spans="2:24" s="1" customFormat="1" ht="16.5" customHeight="1" x14ac:dyDescent="0.3">
      <c r="B54" s="1" t="s">
        <v>358</v>
      </c>
      <c r="C54" s="32"/>
      <c r="D54" s="38">
        <v>32</v>
      </c>
      <c r="E54" s="43" t="s">
        <v>281</v>
      </c>
      <c r="F54" s="38" t="s">
        <v>210</v>
      </c>
      <c r="G54" s="44" t="s">
        <v>205</v>
      </c>
      <c r="H54" s="58" t="s">
        <v>282</v>
      </c>
      <c r="I54" s="33"/>
      <c r="J54" s="34" t="s">
        <v>283</v>
      </c>
      <c r="K54" s="45"/>
      <c r="L54" s="46"/>
      <c r="M54" s="46" t="s">
        <v>360</v>
      </c>
      <c r="N54" s="21"/>
      <c r="O54" s="38">
        <v>32</v>
      </c>
      <c r="P54" s="43" t="s">
        <v>281</v>
      </c>
      <c r="Q54" s="38" t="s">
        <v>210</v>
      </c>
      <c r="R54" s="44" t="s">
        <v>207</v>
      </c>
      <c r="S54" s="58" t="s">
        <v>282</v>
      </c>
      <c r="T54" s="33"/>
      <c r="U54" s="34" t="s">
        <v>283</v>
      </c>
      <c r="V54" s="45"/>
      <c r="W54" s="38"/>
      <c r="X54" s="47"/>
    </row>
    <row r="55" spans="2:24" s="1" customFormat="1" ht="16.5" customHeight="1" x14ac:dyDescent="0.3">
      <c r="B55" s="1" t="s">
        <v>358</v>
      </c>
      <c r="C55" s="32"/>
      <c r="D55" s="38">
        <v>33</v>
      </c>
      <c r="E55" s="43" t="s">
        <v>284</v>
      </c>
      <c r="F55" s="38" t="s">
        <v>210</v>
      </c>
      <c r="G55" s="44" t="s">
        <v>205</v>
      </c>
      <c r="H55" s="58" t="s">
        <v>282</v>
      </c>
      <c r="I55" s="33"/>
      <c r="J55" s="34" t="s">
        <v>285</v>
      </c>
      <c r="K55" s="45"/>
      <c r="L55" s="46"/>
      <c r="M55" s="46" t="s">
        <v>360</v>
      </c>
      <c r="N55" s="21"/>
      <c r="O55" s="38">
        <v>33</v>
      </c>
      <c r="P55" s="43" t="s">
        <v>284</v>
      </c>
      <c r="Q55" s="38" t="s">
        <v>210</v>
      </c>
      <c r="R55" s="44" t="s">
        <v>207</v>
      </c>
      <c r="S55" s="58" t="s">
        <v>282</v>
      </c>
      <c r="T55" s="33"/>
      <c r="U55" s="34" t="s">
        <v>285</v>
      </c>
      <c r="V55" s="45"/>
      <c r="W55" s="38"/>
      <c r="X55" s="47"/>
    </row>
    <row r="56" spans="2:24" s="1" customFormat="1" ht="16.5" customHeight="1" x14ac:dyDescent="0.3">
      <c r="B56" s="1" t="s">
        <v>358</v>
      </c>
      <c r="C56" s="32"/>
      <c r="D56" s="38">
        <v>34</v>
      </c>
      <c r="E56" s="43" t="s">
        <v>286</v>
      </c>
      <c r="F56" s="38" t="s">
        <v>210</v>
      </c>
      <c r="G56" s="44" t="s">
        <v>205</v>
      </c>
      <c r="H56" s="58" t="s">
        <v>282</v>
      </c>
      <c r="I56" s="33"/>
      <c r="J56" s="34" t="s">
        <v>287</v>
      </c>
      <c r="K56" s="45"/>
      <c r="L56" s="46"/>
      <c r="M56" s="46" t="s">
        <v>360</v>
      </c>
      <c r="N56" s="21"/>
      <c r="O56" s="38">
        <v>34</v>
      </c>
      <c r="P56" s="43" t="s">
        <v>286</v>
      </c>
      <c r="Q56" s="38" t="s">
        <v>210</v>
      </c>
      <c r="R56" s="44" t="s">
        <v>207</v>
      </c>
      <c r="S56" s="58" t="s">
        <v>282</v>
      </c>
      <c r="T56" s="33"/>
      <c r="U56" s="34" t="s">
        <v>287</v>
      </c>
      <c r="V56" s="45"/>
      <c r="W56" s="38"/>
      <c r="X56" s="47"/>
    </row>
    <row r="57" spans="2:24" s="1" customFormat="1" ht="16.5" customHeight="1" x14ac:dyDescent="0.3">
      <c r="B57" s="1" t="s">
        <v>358</v>
      </c>
      <c r="C57" s="32"/>
      <c r="D57" s="38">
        <v>35</v>
      </c>
      <c r="E57" s="43" t="s">
        <v>288</v>
      </c>
      <c r="F57" s="38" t="s">
        <v>210</v>
      </c>
      <c r="G57" s="44" t="s">
        <v>205</v>
      </c>
      <c r="H57" s="58" t="s">
        <v>282</v>
      </c>
      <c r="I57" s="33"/>
      <c r="J57" s="34" t="s">
        <v>289</v>
      </c>
      <c r="K57" s="45"/>
      <c r="L57" s="46"/>
      <c r="M57" s="46" t="s">
        <v>360</v>
      </c>
      <c r="N57" s="21"/>
      <c r="O57" s="38">
        <v>35</v>
      </c>
      <c r="P57" s="43" t="s">
        <v>288</v>
      </c>
      <c r="Q57" s="38" t="s">
        <v>210</v>
      </c>
      <c r="R57" s="44" t="s">
        <v>207</v>
      </c>
      <c r="S57" s="58" t="s">
        <v>282</v>
      </c>
      <c r="T57" s="33"/>
      <c r="U57" s="34" t="s">
        <v>289</v>
      </c>
      <c r="V57" s="45"/>
      <c r="W57" s="38"/>
      <c r="X57" s="47"/>
    </row>
    <row r="58" spans="2:24" s="1" customFormat="1" ht="16.5" customHeight="1" x14ac:dyDescent="0.3">
      <c r="B58" s="1" t="s">
        <v>358</v>
      </c>
      <c r="C58" s="32"/>
      <c r="D58" s="38">
        <v>36</v>
      </c>
      <c r="E58" s="43" t="s">
        <v>290</v>
      </c>
      <c r="F58" s="38" t="s">
        <v>210</v>
      </c>
      <c r="G58" s="44" t="s">
        <v>205</v>
      </c>
      <c r="H58" s="58" t="s">
        <v>282</v>
      </c>
      <c r="I58" s="33"/>
      <c r="J58" s="34" t="s">
        <v>291</v>
      </c>
      <c r="K58" s="45"/>
      <c r="L58" s="46"/>
      <c r="M58" s="46" t="s">
        <v>360</v>
      </c>
      <c r="N58" s="21"/>
      <c r="O58" s="38">
        <v>36</v>
      </c>
      <c r="P58" s="43" t="s">
        <v>290</v>
      </c>
      <c r="Q58" s="38" t="s">
        <v>210</v>
      </c>
      <c r="R58" s="44" t="s">
        <v>207</v>
      </c>
      <c r="S58" s="58" t="s">
        <v>282</v>
      </c>
      <c r="T58" s="33"/>
      <c r="U58" s="34" t="s">
        <v>291</v>
      </c>
      <c r="V58" s="45"/>
      <c r="W58" s="38"/>
      <c r="X58" s="47"/>
    </row>
    <row r="59" spans="2:24" s="1" customFormat="1" ht="16.5" customHeight="1" x14ac:dyDescent="0.3">
      <c r="B59" s="1" t="s">
        <v>358</v>
      </c>
      <c r="C59" s="32"/>
      <c r="D59" s="38">
        <v>37</v>
      </c>
      <c r="E59" s="43" t="s">
        <v>292</v>
      </c>
      <c r="F59" s="38" t="s">
        <v>210</v>
      </c>
      <c r="G59" s="44" t="s">
        <v>205</v>
      </c>
      <c r="H59" s="58" t="s">
        <v>282</v>
      </c>
      <c r="I59" s="33"/>
      <c r="J59" s="34" t="s">
        <v>293</v>
      </c>
      <c r="K59" s="45"/>
      <c r="L59" s="46"/>
      <c r="M59" s="46" t="s">
        <v>360</v>
      </c>
      <c r="N59" s="21"/>
      <c r="O59" s="38">
        <v>37</v>
      </c>
      <c r="P59" s="43" t="s">
        <v>292</v>
      </c>
      <c r="Q59" s="38" t="s">
        <v>210</v>
      </c>
      <c r="R59" s="44" t="s">
        <v>207</v>
      </c>
      <c r="S59" s="58" t="s">
        <v>282</v>
      </c>
      <c r="T59" s="33"/>
      <c r="U59" s="34" t="s">
        <v>293</v>
      </c>
      <c r="V59" s="45"/>
      <c r="W59" s="38"/>
      <c r="X59" s="47"/>
    </row>
    <row r="60" spans="2:24" s="1" customFormat="1" ht="16.5" customHeight="1" x14ac:dyDescent="0.3">
      <c r="B60" s="1" t="s">
        <v>358</v>
      </c>
      <c r="C60" s="32"/>
      <c r="D60" s="38">
        <v>38</v>
      </c>
      <c r="E60" s="43" t="s">
        <v>294</v>
      </c>
      <c r="F60" s="38" t="s">
        <v>210</v>
      </c>
      <c r="G60" s="44" t="s">
        <v>205</v>
      </c>
      <c r="H60" s="58" t="s">
        <v>282</v>
      </c>
      <c r="I60" s="33"/>
      <c r="J60" s="34" t="s">
        <v>295</v>
      </c>
      <c r="K60" s="45"/>
      <c r="L60" s="46"/>
      <c r="M60" s="46" t="s">
        <v>360</v>
      </c>
      <c r="N60" s="21"/>
      <c r="O60" s="38">
        <v>38</v>
      </c>
      <c r="P60" s="43" t="s">
        <v>294</v>
      </c>
      <c r="Q60" s="38" t="s">
        <v>210</v>
      </c>
      <c r="R60" s="44" t="s">
        <v>207</v>
      </c>
      <c r="S60" s="58" t="s">
        <v>282</v>
      </c>
      <c r="T60" s="33"/>
      <c r="U60" s="34" t="s">
        <v>295</v>
      </c>
      <c r="V60" s="45"/>
      <c r="W60" s="38"/>
      <c r="X60" s="47"/>
    </row>
    <row r="61" spans="2:24" s="1" customFormat="1" ht="16.5" customHeight="1" x14ac:dyDescent="0.3">
      <c r="B61" s="1" t="s">
        <v>358</v>
      </c>
      <c r="C61" s="32"/>
      <c r="D61" s="38">
        <v>39</v>
      </c>
      <c r="E61" s="43" t="s">
        <v>296</v>
      </c>
      <c r="F61" s="38" t="s">
        <v>210</v>
      </c>
      <c r="G61" s="44" t="s">
        <v>205</v>
      </c>
      <c r="H61" s="58" t="s">
        <v>282</v>
      </c>
      <c r="I61" s="33"/>
      <c r="J61" s="34" t="s">
        <v>297</v>
      </c>
      <c r="K61" s="45"/>
      <c r="L61" s="46"/>
      <c r="M61" s="46" t="s">
        <v>360</v>
      </c>
      <c r="N61" s="21"/>
      <c r="O61" s="38">
        <v>39</v>
      </c>
      <c r="P61" s="43" t="s">
        <v>296</v>
      </c>
      <c r="Q61" s="38" t="s">
        <v>210</v>
      </c>
      <c r="R61" s="44" t="s">
        <v>207</v>
      </c>
      <c r="S61" s="58" t="s">
        <v>282</v>
      </c>
      <c r="T61" s="33"/>
      <c r="U61" s="34" t="s">
        <v>297</v>
      </c>
      <c r="V61" s="45"/>
      <c r="W61" s="38"/>
      <c r="X61" s="47"/>
    </row>
    <row r="62" spans="2:24" s="1" customFormat="1" ht="16.5" customHeight="1" x14ac:dyDescent="0.3">
      <c r="B62" s="1" t="s">
        <v>358</v>
      </c>
      <c r="C62" s="32"/>
      <c r="D62" s="38">
        <v>40</v>
      </c>
      <c r="E62" s="43" t="s">
        <v>298</v>
      </c>
      <c r="F62" s="38" t="s">
        <v>210</v>
      </c>
      <c r="G62" s="44" t="s">
        <v>205</v>
      </c>
      <c r="H62" s="58" t="s">
        <v>282</v>
      </c>
      <c r="I62" s="33"/>
      <c r="J62" s="34" t="s">
        <v>299</v>
      </c>
      <c r="K62" s="45"/>
      <c r="L62" s="46"/>
      <c r="M62" s="46" t="s">
        <v>360</v>
      </c>
      <c r="N62" s="21"/>
      <c r="O62" s="38">
        <v>40</v>
      </c>
      <c r="P62" s="43" t="s">
        <v>298</v>
      </c>
      <c r="Q62" s="38" t="s">
        <v>210</v>
      </c>
      <c r="R62" s="44" t="s">
        <v>207</v>
      </c>
      <c r="S62" s="58" t="s">
        <v>282</v>
      </c>
      <c r="T62" s="33"/>
      <c r="U62" s="34" t="s">
        <v>299</v>
      </c>
      <c r="V62" s="45"/>
      <c r="W62" s="38"/>
      <c r="X62" s="47"/>
    </row>
    <row r="63" spans="2:24" s="1" customFormat="1" ht="16.5" customHeight="1" x14ac:dyDescent="0.3">
      <c r="B63" s="1" t="s">
        <v>358</v>
      </c>
      <c r="C63" s="32"/>
      <c r="D63" s="38">
        <v>41</v>
      </c>
      <c r="E63" s="43" t="s">
        <v>300</v>
      </c>
      <c r="F63" s="38" t="s">
        <v>210</v>
      </c>
      <c r="G63" s="44" t="s">
        <v>205</v>
      </c>
      <c r="H63" s="58" t="s">
        <v>282</v>
      </c>
      <c r="I63" s="33"/>
      <c r="J63" s="34" t="s">
        <v>301</v>
      </c>
      <c r="K63" s="45"/>
      <c r="L63" s="46"/>
      <c r="M63" s="46" t="s">
        <v>360</v>
      </c>
      <c r="N63" s="21"/>
      <c r="O63" s="38">
        <v>41</v>
      </c>
      <c r="P63" s="43" t="s">
        <v>300</v>
      </c>
      <c r="Q63" s="38" t="s">
        <v>210</v>
      </c>
      <c r="R63" s="44" t="s">
        <v>207</v>
      </c>
      <c r="S63" s="58" t="s">
        <v>282</v>
      </c>
      <c r="T63" s="33"/>
      <c r="U63" s="34" t="s">
        <v>301</v>
      </c>
      <c r="V63" s="45"/>
      <c r="W63" s="38"/>
      <c r="X63" s="47"/>
    </row>
    <row r="64" spans="2:24" s="1" customFormat="1" ht="16.5" customHeight="1" x14ac:dyDescent="0.3">
      <c r="B64" s="1" t="s">
        <v>358</v>
      </c>
      <c r="C64" s="32"/>
      <c r="D64" s="38">
        <v>42</v>
      </c>
      <c r="E64" s="43" t="s">
        <v>302</v>
      </c>
      <c r="F64" s="38" t="s">
        <v>210</v>
      </c>
      <c r="G64" s="44" t="s">
        <v>205</v>
      </c>
      <c r="H64" s="58" t="s">
        <v>282</v>
      </c>
      <c r="I64" s="33"/>
      <c r="J64" s="34" t="s">
        <v>303</v>
      </c>
      <c r="K64" s="45"/>
      <c r="L64" s="46"/>
      <c r="M64" s="46" t="s">
        <v>360</v>
      </c>
      <c r="N64" s="21"/>
      <c r="O64" s="38">
        <v>42</v>
      </c>
      <c r="P64" s="43" t="s">
        <v>302</v>
      </c>
      <c r="Q64" s="38" t="s">
        <v>210</v>
      </c>
      <c r="R64" s="44" t="s">
        <v>207</v>
      </c>
      <c r="S64" s="58" t="s">
        <v>282</v>
      </c>
      <c r="T64" s="33"/>
      <c r="U64" s="34" t="s">
        <v>303</v>
      </c>
      <c r="V64" s="45"/>
      <c r="W64" s="38"/>
      <c r="X64" s="47"/>
    </row>
    <row r="65" spans="2:24" s="1" customFormat="1" ht="16.5" customHeight="1" x14ac:dyDescent="0.3">
      <c r="B65" s="1" t="s">
        <v>358</v>
      </c>
      <c r="C65" s="32"/>
      <c r="D65" s="38">
        <v>43</v>
      </c>
      <c r="E65" s="43" t="s">
        <v>304</v>
      </c>
      <c r="F65" s="38" t="s">
        <v>210</v>
      </c>
      <c r="G65" s="44" t="s">
        <v>205</v>
      </c>
      <c r="H65" s="58" t="s">
        <v>282</v>
      </c>
      <c r="I65" s="33"/>
      <c r="J65" s="34" t="s">
        <v>305</v>
      </c>
      <c r="K65" s="45"/>
      <c r="L65" s="46"/>
      <c r="M65" s="46" t="s">
        <v>360</v>
      </c>
      <c r="N65" s="21"/>
      <c r="O65" s="38">
        <v>43</v>
      </c>
      <c r="P65" s="43" t="s">
        <v>304</v>
      </c>
      <c r="Q65" s="38" t="s">
        <v>210</v>
      </c>
      <c r="R65" s="44" t="s">
        <v>207</v>
      </c>
      <c r="S65" s="58" t="s">
        <v>282</v>
      </c>
      <c r="T65" s="33"/>
      <c r="U65" s="34" t="s">
        <v>305</v>
      </c>
      <c r="V65" s="45"/>
      <c r="W65" s="38"/>
      <c r="X65" s="47"/>
    </row>
    <row r="66" spans="2:24" s="1" customFormat="1" ht="16.5" customHeight="1" x14ac:dyDescent="0.3">
      <c r="B66" s="1" t="s">
        <v>358</v>
      </c>
      <c r="C66" s="32"/>
      <c r="D66" s="38">
        <v>44</v>
      </c>
      <c r="E66" s="43" t="s">
        <v>306</v>
      </c>
      <c r="F66" s="38" t="s">
        <v>210</v>
      </c>
      <c r="G66" s="44" t="s">
        <v>205</v>
      </c>
      <c r="H66" s="58" t="s">
        <v>282</v>
      </c>
      <c r="I66" s="33"/>
      <c r="J66" s="34" t="s">
        <v>307</v>
      </c>
      <c r="K66" s="45"/>
      <c r="L66" s="46"/>
      <c r="M66" s="46" t="s">
        <v>360</v>
      </c>
      <c r="N66" s="21"/>
      <c r="O66" s="38">
        <v>44</v>
      </c>
      <c r="P66" s="43" t="s">
        <v>306</v>
      </c>
      <c r="Q66" s="38" t="s">
        <v>210</v>
      </c>
      <c r="R66" s="44" t="s">
        <v>207</v>
      </c>
      <c r="S66" s="58" t="s">
        <v>282</v>
      </c>
      <c r="T66" s="33"/>
      <c r="U66" s="34" t="s">
        <v>307</v>
      </c>
      <c r="V66" s="45"/>
      <c r="W66" s="38"/>
      <c r="X66" s="47"/>
    </row>
    <row r="67" spans="2:24" s="1" customFormat="1" ht="16.5" customHeight="1" x14ac:dyDescent="0.3">
      <c r="B67" s="1" t="s">
        <v>358</v>
      </c>
      <c r="C67" s="32"/>
      <c r="D67" s="38">
        <v>45</v>
      </c>
      <c r="E67" s="43" t="s">
        <v>308</v>
      </c>
      <c r="F67" s="38" t="s">
        <v>210</v>
      </c>
      <c r="G67" s="44" t="s">
        <v>205</v>
      </c>
      <c r="H67" s="58" t="s">
        <v>282</v>
      </c>
      <c r="I67" s="33"/>
      <c r="J67" s="34" t="s">
        <v>309</v>
      </c>
      <c r="K67" s="45"/>
      <c r="L67" s="46"/>
      <c r="M67" s="46" t="s">
        <v>360</v>
      </c>
      <c r="N67" s="21"/>
      <c r="O67" s="38">
        <v>45</v>
      </c>
      <c r="P67" s="43" t="s">
        <v>308</v>
      </c>
      <c r="Q67" s="38" t="s">
        <v>210</v>
      </c>
      <c r="R67" s="44" t="s">
        <v>207</v>
      </c>
      <c r="S67" s="58" t="s">
        <v>282</v>
      </c>
      <c r="T67" s="33"/>
      <c r="U67" s="34" t="s">
        <v>309</v>
      </c>
      <c r="V67" s="45"/>
      <c r="W67" s="38"/>
      <c r="X67" s="47"/>
    </row>
    <row r="68" spans="2:24" s="1" customFormat="1" ht="16.5" customHeight="1" x14ac:dyDescent="0.3">
      <c r="B68" s="1" t="s">
        <v>358</v>
      </c>
      <c r="C68" s="32"/>
      <c r="D68" s="38">
        <v>46</v>
      </c>
      <c r="E68" s="43" t="s">
        <v>310</v>
      </c>
      <c r="F68" s="38" t="s">
        <v>210</v>
      </c>
      <c r="G68" s="44" t="s">
        <v>205</v>
      </c>
      <c r="H68" s="58" t="s">
        <v>282</v>
      </c>
      <c r="I68" s="33"/>
      <c r="J68" s="34" t="s">
        <v>311</v>
      </c>
      <c r="K68" s="45"/>
      <c r="L68" s="46"/>
      <c r="M68" s="46" t="s">
        <v>360</v>
      </c>
      <c r="N68" s="21"/>
      <c r="O68" s="38">
        <v>46</v>
      </c>
      <c r="P68" s="43" t="s">
        <v>310</v>
      </c>
      <c r="Q68" s="38" t="s">
        <v>210</v>
      </c>
      <c r="R68" s="44" t="s">
        <v>207</v>
      </c>
      <c r="S68" s="58" t="s">
        <v>282</v>
      </c>
      <c r="T68" s="33"/>
      <c r="U68" s="34" t="s">
        <v>311</v>
      </c>
      <c r="V68" s="45"/>
      <c r="W68" s="38"/>
      <c r="X68" s="47"/>
    </row>
    <row r="69" spans="2:24" s="1" customFormat="1" ht="16.5" customHeight="1" x14ac:dyDescent="0.3">
      <c r="B69" s="1" t="s">
        <v>358</v>
      </c>
      <c r="C69" s="32"/>
      <c r="D69" s="38">
        <v>47</v>
      </c>
      <c r="E69" s="43" t="s">
        <v>312</v>
      </c>
      <c r="F69" s="38" t="s">
        <v>210</v>
      </c>
      <c r="G69" s="44" t="s">
        <v>209</v>
      </c>
      <c r="H69" s="58" t="s">
        <v>210</v>
      </c>
      <c r="I69" s="33"/>
      <c r="J69" s="34" t="s">
        <v>313</v>
      </c>
      <c r="K69" s="45"/>
      <c r="L69" s="46"/>
      <c r="M69" s="46" t="s">
        <v>360</v>
      </c>
      <c r="N69" s="21"/>
      <c r="O69" s="38">
        <v>47</v>
      </c>
      <c r="P69" s="43" t="s">
        <v>312</v>
      </c>
      <c r="Q69" s="38" t="s">
        <v>210</v>
      </c>
      <c r="R69" s="44" t="s">
        <v>212</v>
      </c>
      <c r="S69" s="58" t="s">
        <v>210</v>
      </c>
      <c r="T69" s="33"/>
      <c r="U69" s="34" t="s">
        <v>313</v>
      </c>
      <c r="V69" s="45"/>
      <c r="W69" s="38"/>
      <c r="X69" s="47"/>
    </row>
    <row r="70" spans="2:24" s="1" customFormat="1" ht="16.5" customHeight="1" x14ac:dyDescent="0.3">
      <c r="B70" s="1" t="s">
        <v>358</v>
      </c>
      <c r="C70" s="32"/>
      <c r="D70" s="38">
        <v>48</v>
      </c>
      <c r="E70" s="43" t="s">
        <v>314</v>
      </c>
      <c r="F70" s="38" t="s">
        <v>204</v>
      </c>
      <c r="G70" s="44" t="s">
        <v>205</v>
      </c>
      <c r="H70" s="58" t="s">
        <v>220</v>
      </c>
      <c r="I70" s="33"/>
      <c r="J70" s="34" t="s">
        <v>315</v>
      </c>
      <c r="K70" s="45"/>
      <c r="L70" s="46"/>
      <c r="M70" s="46" t="s">
        <v>360</v>
      </c>
      <c r="N70" s="21"/>
      <c r="O70" s="38">
        <v>48</v>
      </c>
      <c r="P70" s="43" t="s">
        <v>314</v>
      </c>
      <c r="Q70" s="38" t="s">
        <v>204</v>
      </c>
      <c r="R70" s="44" t="s">
        <v>207</v>
      </c>
      <c r="S70" s="58" t="s">
        <v>220</v>
      </c>
      <c r="T70" s="33"/>
      <c r="U70" s="34" t="s">
        <v>315</v>
      </c>
      <c r="V70" s="45"/>
      <c r="W70" s="38"/>
      <c r="X70" s="47"/>
    </row>
    <row r="71" spans="2:24" s="1" customFormat="1" ht="16.5" customHeight="1" x14ac:dyDescent="0.3">
      <c r="B71" s="1" t="s">
        <v>358</v>
      </c>
      <c r="C71" s="32"/>
      <c r="D71" s="38">
        <v>49</v>
      </c>
      <c r="E71" s="43" t="s">
        <v>316</v>
      </c>
      <c r="F71" s="38" t="s">
        <v>210</v>
      </c>
      <c r="G71" s="44" t="s">
        <v>209</v>
      </c>
      <c r="H71" s="58" t="s">
        <v>210</v>
      </c>
      <c r="I71" s="33"/>
      <c r="J71" s="34" t="s">
        <v>317</v>
      </c>
      <c r="K71" s="45"/>
      <c r="L71" s="46"/>
      <c r="M71" s="46" t="s">
        <v>360</v>
      </c>
      <c r="N71" s="21"/>
      <c r="O71" s="38">
        <v>49</v>
      </c>
      <c r="P71" s="43" t="s">
        <v>316</v>
      </c>
      <c r="Q71" s="38" t="s">
        <v>210</v>
      </c>
      <c r="R71" s="44" t="s">
        <v>212</v>
      </c>
      <c r="S71" s="58" t="s">
        <v>210</v>
      </c>
      <c r="T71" s="33"/>
      <c r="U71" s="34" t="s">
        <v>317</v>
      </c>
      <c r="V71" s="45"/>
      <c r="W71" s="38"/>
      <c r="X71" s="47"/>
    </row>
    <row r="72" spans="2:24" s="1" customFormat="1" ht="16.5" customHeight="1" x14ac:dyDescent="0.3">
      <c r="B72" s="1" t="s">
        <v>358</v>
      </c>
      <c r="C72" s="68"/>
      <c r="D72" s="69">
        <v>50</v>
      </c>
      <c r="E72" s="70" t="s">
        <v>318</v>
      </c>
      <c r="F72" s="38" t="s">
        <v>210</v>
      </c>
      <c r="G72" s="44" t="s">
        <v>205</v>
      </c>
      <c r="H72" s="58" t="s">
        <v>220</v>
      </c>
      <c r="I72" s="33"/>
      <c r="J72" s="34" t="s">
        <v>319</v>
      </c>
      <c r="K72" s="45"/>
      <c r="L72" s="46"/>
      <c r="M72" s="46" t="s">
        <v>360</v>
      </c>
      <c r="N72" s="21"/>
      <c r="O72" s="38">
        <v>50</v>
      </c>
      <c r="P72" s="43" t="s">
        <v>318</v>
      </c>
      <c r="Q72" s="38" t="s">
        <v>210</v>
      </c>
      <c r="R72" s="44" t="s">
        <v>207</v>
      </c>
      <c r="S72" s="58" t="s">
        <v>220</v>
      </c>
      <c r="T72" s="33"/>
      <c r="U72" s="34" t="s">
        <v>319</v>
      </c>
      <c r="V72" s="45"/>
      <c r="W72" s="38"/>
      <c r="X72" s="47"/>
    </row>
    <row r="73" spans="2:24" s="1" customFormat="1" ht="16.5" customHeight="1" x14ac:dyDescent="0.3">
      <c r="B73" s="1" t="s">
        <v>358</v>
      </c>
      <c r="C73" s="68"/>
      <c r="D73" s="69">
        <v>51</v>
      </c>
      <c r="E73" s="75" t="s">
        <v>371</v>
      </c>
      <c r="F73" s="38" t="s">
        <v>210</v>
      </c>
      <c r="G73" s="44" t="s">
        <v>209</v>
      </c>
      <c r="H73" s="58" t="s">
        <v>210</v>
      </c>
      <c r="I73" s="33"/>
      <c r="J73" s="34" t="s">
        <v>321</v>
      </c>
      <c r="K73" s="45"/>
      <c r="L73" s="46"/>
      <c r="M73" s="46" t="s">
        <v>360</v>
      </c>
      <c r="N73" s="21"/>
      <c r="O73" s="38">
        <v>51</v>
      </c>
      <c r="P73" s="43" t="s">
        <v>320</v>
      </c>
      <c r="Q73" s="38" t="s">
        <v>210</v>
      </c>
      <c r="R73" s="44" t="s">
        <v>212</v>
      </c>
      <c r="S73" s="58" t="s">
        <v>210</v>
      </c>
      <c r="T73" s="33"/>
      <c r="U73" s="34" t="s">
        <v>321</v>
      </c>
      <c r="V73" s="45"/>
      <c r="W73" s="38"/>
      <c r="X73" s="47" t="s">
        <v>322</v>
      </c>
    </row>
    <row r="74" spans="2:24" s="1" customFormat="1" ht="16.5" customHeight="1" x14ac:dyDescent="0.3">
      <c r="B74" s="1" t="s">
        <v>358</v>
      </c>
      <c r="C74" s="68"/>
      <c r="D74" s="69">
        <v>52</v>
      </c>
      <c r="E74" s="70" t="s">
        <v>323</v>
      </c>
      <c r="F74" s="38" t="s">
        <v>210</v>
      </c>
      <c r="G74" s="44" t="s">
        <v>205</v>
      </c>
      <c r="H74" s="58" t="s">
        <v>324</v>
      </c>
      <c r="I74" s="33"/>
      <c r="J74" s="34" t="s">
        <v>325</v>
      </c>
      <c r="K74" s="45"/>
      <c r="L74" s="46"/>
      <c r="M74" s="46" t="s">
        <v>360</v>
      </c>
      <c r="N74" s="21"/>
      <c r="O74" s="38">
        <v>52</v>
      </c>
      <c r="P74" s="43" t="s">
        <v>323</v>
      </c>
      <c r="Q74" s="38" t="s">
        <v>210</v>
      </c>
      <c r="R74" s="44" t="s">
        <v>207</v>
      </c>
      <c r="S74" s="58" t="s">
        <v>324</v>
      </c>
      <c r="T74" s="33"/>
      <c r="U74" s="34" t="s">
        <v>325</v>
      </c>
      <c r="V74" s="45"/>
      <c r="W74" s="38"/>
      <c r="X74" s="47"/>
    </row>
    <row r="75" spans="2:24" s="1" customFormat="1" ht="16.5" customHeight="1" x14ac:dyDescent="0.3">
      <c r="B75" s="1" t="s">
        <v>358</v>
      </c>
      <c r="C75" s="72"/>
      <c r="D75" s="69">
        <v>53</v>
      </c>
      <c r="E75" s="73" t="s">
        <v>326</v>
      </c>
      <c r="F75" s="22"/>
      <c r="G75" s="49" t="s">
        <v>205</v>
      </c>
      <c r="H75" s="23">
        <v>1</v>
      </c>
      <c r="I75" s="50"/>
      <c r="J75" s="51" t="s">
        <v>327</v>
      </c>
      <c r="K75" s="34"/>
      <c r="L75" s="46"/>
      <c r="M75" s="46"/>
      <c r="N75" s="21"/>
      <c r="O75" s="38"/>
      <c r="P75" s="43"/>
      <c r="Q75" s="22"/>
      <c r="R75" s="49"/>
      <c r="S75" s="23"/>
      <c r="T75" s="50"/>
      <c r="U75" s="51"/>
      <c r="V75" s="39"/>
      <c r="W75" s="38"/>
      <c r="X75" s="47"/>
    </row>
    <row r="76" spans="2:24" s="1" customFormat="1" ht="16.5" customHeight="1" x14ac:dyDescent="0.3">
      <c r="B76" s="1" t="s">
        <v>358</v>
      </c>
      <c r="C76" s="72"/>
      <c r="D76" s="69">
        <v>54</v>
      </c>
      <c r="E76" s="71" t="s">
        <v>328</v>
      </c>
      <c r="F76" s="47"/>
      <c r="G76" s="49" t="s">
        <v>205</v>
      </c>
      <c r="H76" s="52">
        <v>36</v>
      </c>
      <c r="I76" s="50"/>
      <c r="J76" s="51" t="s">
        <v>329</v>
      </c>
      <c r="K76" s="34"/>
      <c r="L76" s="46"/>
      <c r="M76" s="46"/>
      <c r="N76" s="21"/>
      <c r="O76" s="38"/>
      <c r="P76" s="47"/>
      <c r="Q76" s="47"/>
      <c r="R76" s="49"/>
      <c r="S76" s="52"/>
      <c r="T76" s="50"/>
      <c r="U76" s="51"/>
      <c r="V76" s="39"/>
      <c r="W76" s="38"/>
      <c r="X76" s="47"/>
    </row>
    <row r="77" spans="2:24" s="1" customFormat="1" ht="16.5" customHeight="1" x14ac:dyDescent="0.3">
      <c r="B77" s="1" t="s">
        <v>358</v>
      </c>
      <c r="C77" s="72"/>
      <c r="D77" s="69">
        <v>55</v>
      </c>
      <c r="E77" s="71" t="s">
        <v>330</v>
      </c>
      <c r="F77" s="47"/>
      <c r="G77" s="49" t="s">
        <v>270</v>
      </c>
      <c r="H77" s="52"/>
      <c r="I77" s="47"/>
      <c r="J77" s="51" t="s">
        <v>331</v>
      </c>
      <c r="K77" s="34"/>
      <c r="L77" s="46"/>
      <c r="M77" s="46"/>
      <c r="N77" s="21"/>
      <c r="O77" s="38"/>
      <c r="P77" s="47"/>
      <c r="Q77" s="47"/>
      <c r="R77" s="49"/>
      <c r="S77" s="52"/>
      <c r="T77" s="47"/>
      <c r="U77" s="51"/>
      <c r="V77" s="39"/>
      <c r="W77" s="38"/>
      <c r="X77" s="47"/>
    </row>
    <row r="78" spans="2:24" s="1" customFormat="1" ht="16.5" customHeight="1" x14ac:dyDescent="0.3">
      <c r="C78" s="48"/>
      <c r="D78" s="38"/>
      <c r="E78" s="43"/>
      <c r="F78" s="38"/>
      <c r="G78" s="49"/>
      <c r="H78" s="53"/>
      <c r="I78" s="54"/>
      <c r="J78" s="34"/>
      <c r="K78" s="34"/>
      <c r="L78" s="46"/>
      <c r="M78" s="46"/>
      <c r="N78" s="21"/>
      <c r="O78" s="38"/>
      <c r="P78" s="43"/>
      <c r="Q78" s="38"/>
      <c r="R78" s="49"/>
      <c r="S78" s="53"/>
      <c r="T78" s="54"/>
      <c r="U78" s="34"/>
      <c r="V78" s="39"/>
      <c r="W78" s="38"/>
      <c r="X78" s="47"/>
    </row>
    <row r="79" spans="2:24" s="1" customFormat="1" ht="16.5" customHeight="1" x14ac:dyDescent="0.3">
      <c r="B79" s="1" t="s">
        <v>359</v>
      </c>
      <c r="C79" s="55" t="s">
        <v>332</v>
      </c>
      <c r="D79" s="38">
        <v>1</v>
      </c>
      <c r="E79" s="43" t="s">
        <v>333</v>
      </c>
      <c r="F79" s="38"/>
      <c r="G79" s="49" t="s">
        <v>205</v>
      </c>
      <c r="H79" s="56">
        <v>50</v>
      </c>
      <c r="I79" s="54"/>
      <c r="J79" s="34" t="s">
        <v>334</v>
      </c>
      <c r="K79" s="34"/>
      <c r="L79" s="46"/>
      <c r="M79" s="46"/>
      <c r="N79" s="21"/>
      <c r="O79" s="38"/>
      <c r="P79" s="43"/>
      <c r="Q79" s="38"/>
      <c r="R79" s="49"/>
      <c r="S79" s="53"/>
      <c r="T79" s="54"/>
      <c r="U79" s="34"/>
      <c r="V79" s="39"/>
      <c r="W79" s="38"/>
      <c r="X79" s="47"/>
    </row>
    <row r="80" spans="2:24" s="1" customFormat="1" ht="16.5" customHeight="1" x14ac:dyDescent="0.3">
      <c r="B80" s="1" t="s">
        <v>359</v>
      </c>
      <c r="C80" s="48"/>
      <c r="D80" s="38">
        <v>2</v>
      </c>
      <c r="E80" s="43" t="s">
        <v>335</v>
      </c>
      <c r="F80" s="38"/>
      <c r="G80" s="49" t="s">
        <v>205</v>
      </c>
      <c r="H80" s="56">
        <v>250</v>
      </c>
      <c r="I80" s="54"/>
      <c r="J80" s="34" t="s">
        <v>336</v>
      </c>
      <c r="K80" s="34"/>
      <c r="L80" s="46"/>
      <c r="M80" s="46"/>
      <c r="N80" s="21"/>
      <c r="O80" s="38"/>
      <c r="P80" s="43"/>
      <c r="Q80" s="38"/>
      <c r="R80" s="49"/>
      <c r="S80" s="53"/>
      <c r="T80" s="54"/>
      <c r="U80" s="34"/>
      <c r="V80" s="39"/>
      <c r="W80" s="38"/>
      <c r="X80" s="47"/>
    </row>
    <row r="81" spans="2:24" s="1" customFormat="1" ht="16.5" customHeight="1" x14ac:dyDescent="0.3">
      <c r="B81" s="1" t="s">
        <v>359</v>
      </c>
      <c r="C81" s="48"/>
      <c r="D81" s="38">
        <v>3</v>
      </c>
      <c r="E81" s="43" t="s">
        <v>337</v>
      </c>
      <c r="F81" s="38"/>
      <c r="G81" s="49" t="s">
        <v>205</v>
      </c>
      <c r="H81" s="56">
        <v>250</v>
      </c>
      <c r="I81" s="54"/>
      <c r="J81" s="34" t="s">
        <v>338</v>
      </c>
      <c r="K81" s="34"/>
      <c r="L81" s="46"/>
      <c r="M81" s="46"/>
      <c r="N81" s="21"/>
      <c r="O81" s="38"/>
      <c r="P81" s="43"/>
      <c r="Q81" s="38"/>
      <c r="R81" s="49"/>
      <c r="S81" s="53"/>
      <c r="T81" s="54"/>
      <c r="U81" s="34"/>
      <c r="V81" s="39"/>
      <c r="W81" s="38"/>
      <c r="X81" s="47"/>
    </row>
    <row r="82" spans="2:24" s="1" customFormat="1" ht="16.5" customHeight="1" x14ac:dyDescent="0.3">
      <c r="B82" s="1" t="s">
        <v>359</v>
      </c>
      <c r="C82" s="48"/>
      <c r="D82" s="38">
        <v>4</v>
      </c>
      <c r="E82" s="43" t="s">
        <v>339</v>
      </c>
      <c r="F82" s="38"/>
      <c r="G82" s="49" t="s">
        <v>205</v>
      </c>
      <c r="H82" s="56">
        <v>250</v>
      </c>
      <c r="I82" s="54"/>
      <c r="J82" s="34" t="s">
        <v>340</v>
      </c>
      <c r="K82" s="34"/>
      <c r="L82" s="46"/>
      <c r="M82" s="46"/>
      <c r="N82" s="21"/>
      <c r="O82" s="38"/>
      <c r="P82" s="43"/>
      <c r="Q82" s="38"/>
      <c r="R82" s="49"/>
      <c r="S82" s="53"/>
      <c r="T82" s="54"/>
      <c r="U82" s="34"/>
      <c r="V82" s="39"/>
      <c r="W82" s="38"/>
      <c r="X82" s="47"/>
    </row>
    <row r="83" spans="2:24" s="1" customFormat="1" ht="16.5" customHeight="1" x14ac:dyDescent="0.3">
      <c r="B83" s="1" t="s">
        <v>359</v>
      </c>
      <c r="C83" s="48"/>
      <c r="D83" s="38">
        <v>5</v>
      </c>
      <c r="E83" s="43" t="s">
        <v>341</v>
      </c>
      <c r="F83" s="38"/>
      <c r="G83" s="49" t="s">
        <v>205</v>
      </c>
      <c r="H83" s="56">
        <v>250</v>
      </c>
      <c r="I83" s="54"/>
      <c r="J83" s="34" t="s">
        <v>342</v>
      </c>
      <c r="K83" s="34"/>
      <c r="L83" s="46"/>
      <c r="M83" s="46"/>
      <c r="N83" s="21"/>
      <c r="O83" s="38"/>
      <c r="P83" s="43"/>
      <c r="Q83" s="38"/>
      <c r="R83" s="49"/>
      <c r="S83" s="53"/>
      <c r="T83" s="54"/>
      <c r="U83" s="34"/>
      <c r="V83" s="39"/>
      <c r="W83" s="38"/>
      <c r="X83" s="47"/>
    </row>
    <row r="84" spans="2:24" s="1" customFormat="1" ht="16.5" customHeight="1" x14ac:dyDescent="0.3">
      <c r="B84" s="1" t="s">
        <v>359</v>
      </c>
      <c r="C84" s="48"/>
      <c r="D84" s="38">
        <v>6</v>
      </c>
      <c r="E84" s="43" t="s">
        <v>343</v>
      </c>
      <c r="F84" s="38"/>
      <c r="G84" s="49" t="s">
        <v>205</v>
      </c>
      <c r="H84" s="56" t="s">
        <v>344</v>
      </c>
      <c r="I84" s="54"/>
      <c r="J84" s="34" t="s">
        <v>345</v>
      </c>
      <c r="K84" s="34"/>
      <c r="L84" s="46"/>
      <c r="M84" s="46"/>
      <c r="N84" s="21"/>
      <c r="O84" s="38"/>
      <c r="P84" s="43"/>
      <c r="Q84" s="38"/>
      <c r="R84" s="49"/>
      <c r="S84" s="53"/>
      <c r="T84" s="54"/>
      <c r="U84" s="34"/>
      <c r="V84" s="39"/>
      <c r="W84" s="38"/>
      <c r="X84" s="47"/>
    </row>
    <row r="85" spans="2:24" s="1" customFormat="1" ht="16.5" customHeight="1" x14ac:dyDescent="0.3">
      <c r="B85" s="1" t="s">
        <v>359</v>
      </c>
      <c r="C85" s="48"/>
      <c r="D85" s="38">
        <v>7</v>
      </c>
      <c r="E85" s="43" t="s">
        <v>346</v>
      </c>
      <c r="F85" s="38"/>
      <c r="G85" s="49" t="s">
        <v>205</v>
      </c>
      <c r="H85" s="53">
        <v>100</v>
      </c>
      <c r="I85" s="54"/>
      <c r="J85" s="30" t="s">
        <v>347</v>
      </c>
      <c r="K85" s="34"/>
      <c r="L85" s="46"/>
      <c r="M85" s="46"/>
      <c r="N85" s="21"/>
      <c r="O85" s="38"/>
      <c r="P85" s="43"/>
      <c r="Q85" s="38"/>
      <c r="R85" s="49"/>
      <c r="S85" s="53"/>
      <c r="T85" s="54"/>
      <c r="U85" s="34"/>
      <c r="V85" s="39"/>
      <c r="W85" s="38"/>
      <c r="X85" s="47"/>
    </row>
    <row r="86" spans="2:24" s="1" customFormat="1" ht="16.5" customHeight="1" x14ac:dyDescent="0.3">
      <c r="B86" s="1" t="s">
        <v>359</v>
      </c>
      <c r="C86" s="48"/>
      <c r="D86" s="38">
        <v>8</v>
      </c>
      <c r="E86" s="43" t="s">
        <v>348</v>
      </c>
      <c r="F86" s="38"/>
      <c r="G86" s="49" t="s">
        <v>205</v>
      </c>
      <c r="H86" s="56" t="s">
        <v>344</v>
      </c>
      <c r="I86" s="54"/>
      <c r="J86" s="30" t="s">
        <v>349</v>
      </c>
      <c r="K86" s="34"/>
      <c r="L86" s="46"/>
      <c r="M86" s="46"/>
      <c r="N86" s="21"/>
      <c r="O86" s="38"/>
      <c r="P86" s="43"/>
      <c r="Q86" s="38"/>
      <c r="R86" s="49"/>
      <c r="S86" s="34"/>
      <c r="T86" s="33"/>
      <c r="U86" s="57"/>
      <c r="V86" s="39"/>
      <c r="W86" s="38"/>
      <c r="X86" s="47"/>
    </row>
    <row r="87" spans="2:24" s="1" customFormat="1" ht="16.5" customHeight="1" x14ac:dyDescent="0.3">
      <c r="B87" s="1" t="s">
        <v>359</v>
      </c>
      <c r="C87" s="48"/>
      <c r="D87" s="38">
        <v>9</v>
      </c>
      <c r="E87" s="43" t="s">
        <v>350</v>
      </c>
      <c r="F87" s="38"/>
      <c r="G87" s="49" t="s">
        <v>205</v>
      </c>
      <c r="H87" s="53">
        <v>250</v>
      </c>
      <c r="I87" s="54"/>
      <c r="J87" s="30" t="s">
        <v>351</v>
      </c>
      <c r="K87" s="34"/>
      <c r="L87" s="46"/>
      <c r="M87" s="46"/>
      <c r="N87" s="21"/>
      <c r="O87" s="38"/>
      <c r="P87" s="34"/>
      <c r="Q87" s="38"/>
      <c r="R87" s="39"/>
      <c r="S87" s="39"/>
      <c r="T87" s="33"/>
      <c r="U87" s="34"/>
      <c r="V87" s="39"/>
      <c r="W87" s="38"/>
      <c r="X87" s="47"/>
    </row>
    <row r="88" spans="2:24" s="1" customFormat="1" x14ac:dyDescent="0.3">
      <c r="D88" s="4"/>
      <c r="G88" s="2"/>
      <c r="J88" s="5"/>
      <c r="L88" s="6"/>
      <c r="M88" s="6"/>
      <c r="O88" s="4"/>
      <c r="R88" s="2"/>
      <c r="U88" s="5"/>
      <c r="W88" s="6"/>
    </row>
    <row r="89" spans="2:24" ht="249" customHeight="1" x14ac:dyDescent="0.3">
      <c r="C89" s="67" t="s">
        <v>352</v>
      </c>
      <c r="D89" s="143" t="s">
        <v>355</v>
      </c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5"/>
    </row>
    <row r="90" spans="2:24" ht="186.75" customHeight="1" x14ac:dyDescent="0.3">
      <c r="C90" s="15" t="s">
        <v>361</v>
      </c>
      <c r="D90" s="140" t="s">
        <v>362</v>
      </c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2"/>
    </row>
  </sheetData>
  <mergeCells count="48">
    <mergeCell ref="D90:X90"/>
    <mergeCell ref="D89:X89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75:I76 T75:T76">
      <formula1>$O$3:$O$4</formula1>
    </dataValidation>
    <dataValidation type="list" allowBlank="1" showInputMessage="1" showErrorMessage="1" sqref="G11:M11">
      <formula1>$C$3:$C$86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I78 T78:T87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I79:I87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I23:I74 T23:T74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2"/>
  <sheetViews>
    <sheetView workbookViewId="0">
      <selection activeCell="B1" sqref="B1:B52"/>
    </sheetView>
  </sheetViews>
  <sheetFormatPr defaultRowHeight="16.5" x14ac:dyDescent="0.3"/>
  <cols>
    <col min="2" max="2" width="22.375" bestFit="1" customWidth="1"/>
    <col min="3" max="3" width="20.75" bestFit="1" customWidth="1"/>
  </cols>
  <sheetData>
    <row r="1" spans="2:4" x14ac:dyDescent="0.3">
      <c r="B1" s="43" t="s">
        <v>203</v>
      </c>
      <c r="C1" t="s">
        <v>203</v>
      </c>
      <c r="D1" t="b">
        <f>B1=C1</f>
        <v>1</v>
      </c>
    </row>
    <row r="2" spans="2:4" x14ac:dyDescent="0.3">
      <c r="B2" s="43" t="s">
        <v>208</v>
      </c>
      <c r="C2" t="s">
        <v>208</v>
      </c>
      <c r="D2" t="b">
        <f t="shared" ref="D2:D52" si="0">B2=C2</f>
        <v>1</v>
      </c>
    </row>
    <row r="3" spans="2:4" x14ac:dyDescent="0.3">
      <c r="B3" s="43" t="s">
        <v>213</v>
      </c>
      <c r="C3" t="s">
        <v>213</v>
      </c>
      <c r="D3" t="b">
        <f t="shared" si="0"/>
        <v>1</v>
      </c>
    </row>
    <row r="4" spans="2:4" x14ac:dyDescent="0.3">
      <c r="B4" s="43" t="s">
        <v>215</v>
      </c>
      <c r="C4" t="s">
        <v>215</v>
      </c>
      <c r="D4" t="b">
        <f t="shared" si="0"/>
        <v>1</v>
      </c>
    </row>
    <row r="5" spans="2:4" x14ac:dyDescent="0.3">
      <c r="B5" s="43" t="s">
        <v>217</v>
      </c>
      <c r="C5" t="s">
        <v>217</v>
      </c>
      <c r="D5" t="b">
        <f t="shared" si="0"/>
        <v>1</v>
      </c>
    </row>
    <row r="6" spans="2:4" x14ac:dyDescent="0.3">
      <c r="B6" s="43" t="s">
        <v>219</v>
      </c>
      <c r="C6" t="s">
        <v>219</v>
      </c>
      <c r="D6" t="b">
        <f t="shared" si="0"/>
        <v>1</v>
      </c>
    </row>
    <row r="7" spans="2:4" x14ac:dyDescent="0.3">
      <c r="B7" s="43" t="s">
        <v>222</v>
      </c>
      <c r="C7" t="s">
        <v>222</v>
      </c>
      <c r="D7" t="b">
        <f t="shared" si="0"/>
        <v>1</v>
      </c>
    </row>
    <row r="8" spans="2:4" x14ac:dyDescent="0.3">
      <c r="B8" s="43" t="s">
        <v>225</v>
      </c>
      <c r="C8" t="s">
        <v>225</v>
      </c>
      <c r="D8" t="b">
        <f t="shared" si="0"/>
        <v>1</v>
      </c>
    </row>
    <row r="9" spans="2:4" x14ac:dyDescent="0.3">
      <c r="B9" s="43" t="s">
        <v>376</v>
      </c>
      <c r="C9" t="s">
        <v>366</v>
      </c>
      <c r="D9" t="b">
        <f t="shared" si="0"/>
        <v>1</v>
      </c>
    </row>
    <row r="10" spans="2:4" x14ac:dyDescent="0.3">
      <c r="B10" s="43" t="s">
        <v>230</v>
      </c>
      <c r="C10" t="s">
        <v>230</v>
      </c>
      <c r="D10" t="b">
        <f t="shared" si="0"/>
        <v>1</v>
      </c>
    </row>
    <row r="11" spans="2:4" x14ac:dyDescent="0.3">
      <c r="B11" s="43" t="s">
        <v>375</v>
      </c>
      <c r="C11" t="s">
        <v>367</v>
      </c>
      <c r="D11" t="b">
        <f t="shared" si="0"/>
        <v>1</v>
      </c>
    </row>
    <row r="12" spans="2:4" x14ac:dyDescent="0.3">
      <c r="B12" s="43" t="s">
        <v>373</v>
      </c>
      <c r="C12" t="s">
        <v>235</v>
      </c>
      <c r="D12" t="b">
        <f t="shared" si="0"/>
        <v>1</v>
      </c>
    </row>
    <row r="13" spans="2:4" x14ac:dyDescent="0.3">
      <c r="B13" s="43" t="s">
        <v>374</v>
      </c>
      <c r="C13" t="s">
        <v>368</v>
      </c>
      <c r="D13" t="b">
        <f t="shared" si="0"/>
        <v>1</v>
      </c>
    </row>
    <row r="14" spans="2:4" x14ac:dyDescent="0.3">
      <c r="B14" s="43" t="s">
        <v>240</v>
      </c>
      <c r="C14" t="s">
        <v>240</v>
      </c>
      <c r="D14" t="b">
        <f t="shared" si="0"/>
        <v>1</v>
      </c>
    </row>
    <row r="15" spans="2:4" x14ac:dyDescent="0.3">
      <c r="B15" s="43" t="s">
        <v>242</v>
      </c>
      <c r="C15" t="s">
        <v>242</v>
      </c>
      <c r="D15" t="b">
        <f t="shared" si="0"/>
        <v>1</v>
      </c>
    </row>
    <row r="16" spans="2:4" x14ac:dyDescent="0.3">
      <c r="B16" s="43" t="s">
        <v>244</v>
      </c>
      <c r="C16" t="s">
        <v>244</v>
      </c>
      <c r="D16" t="b">
        <f t="shared" si="0"/>
        <v>1</v>
      </c>
    </row>
    <row r="17" spans="2:4" x14ac:dyDescent="0.3">
      <c r="B17" s="43" t="s">
        <v>372</v>
      </c>
      <c r="C17" t="s">
        <v>369</v>
      </c>
      <c r="D17" t="b">
        <f t="shared" si="0"/>
        <v>1</v>
      </c>
    </row>
    <row r="18" spans="2:4" x14ac:dyDescent="0.3">
      <c r="B18" s="43" t="s">
        <v>249</v>
      </c>
      <c r="C18" t="s">
        <v>249</v>
      </c>
      <c r="D18" t="b">
        <f t="shared" si="0"/>
        <v>1</v>
      </c>
    </row>
    <row r="19" spans="2:4" x14ac:dyDescent="0.3">
      <c r="B19" s="43" t="s">
        <v>251</v>
      </c>
      <c r="C19" t="s">
        <v>251</v>
      </c>
      <c r="D19" t="b">
        <f t="shared" si="0"/>
        <v>1</v>
      </c>
    </row>
    <row r="20" spans="2:4" x14ac:dyDescent="0.3">
      <c r="B20" s="43" t="s">
        <v>253</v>
      </c>
      <c r="C20" t="s">
        <v>253</v>
      </c>
      <c r="D20" t="b">
        <f t="shared" si="0"/>
        <v>1</v>
      </c>
    </row>
    <row r="21" spans="2:4" x14ac:dyDescent="0.3">
      <c r="B21" s="43" t="s">
        <v>256</v>
      </c>
      <c r="C21" t="s">
        <v>256</v>
      </c>
      <c r="D21" t="b">
        <f t="shared" si="0"/>
        <v>1</v>
      </c>
    </row>
    <row r="22" spans="2:4" x14ac:dyDescent="0.3">
      <c r="B22" s="43" t="s">
        <v>258</v>
      </c>
      <c r="C22" t="s">
        <v>258</v>
      </c>
      <c r="D22" t="b">
        <f t="shared" si="0"/>
        <v>1</v>
      </c>
    </row>
    <row r="23" spans="2:4" x14ac:dyDescent="0.3">
      <c r="B23" s="43" t="s">
        <v>260</v>
      </c>
      <c r="C23" t="s">
        <v>260</v>
      </c>
      <c r="D23" t="b">
        <f t="shared" si="0"/>
        <v>1</v>
      </c>
    </row>
    <row r="24" spans="2:4" x14ac:dyDescent="0.3">
      <c r="B24" s="43" t="s">
        <v>263</v>
      </c>
      <c r="C24" t="s">
        <v>263</v>
      </c>
      <c r="D24" t="b">
        <f t="shared" si="0"/>
        <v>1</v>
      </c>
    </row>
    <row r="25" spans="2:4" x14ac:dyDescent="0.3">
      <c r="B25" s="43" t="s">
        <v>265</v>
      </c>
      <c r="C25" t="s">
        <v>265</v>
      </c>
      <c r="D25" t="b">
        <f t="shared" si="0"/>
        <v>1</v>
      </c>
    </row>
    <row r="26" spans="2:4" x14ac:dyDescent="0.3">
      <c r="B26" s="43" t="s">
        <v>267</v>
      </c>
      <c r="C26" t="s">
        <v>267</v>
      </c>
      <c r="D26" t="b">
        <f t="shared" si="0"/>
        <v>1</v>
      </c>
    </row>
    <row r="27" spans="2:4" x14ac:dyDescent="0.3">
      <c r="B27" s="43" t="s">
        <v>269</v>
      </c>
      <c r="C27" t="s">
        <v>269</v>
      </c>
      <c r="D27" t="b">
        <f t="shared" si="0"/>
        <v>1</v>
      </c>
    </row>
    <row r="28" spans="2:4" x14ac:dyDescent="0.3">
      <c r="B28" s="43" t="s">
        <v>273</v>
      </c>
      <c r="C28" t="s">
        <v>273</v>
      </c>
      <c r="D28" t="b">
        <f t="shared" si="0"/>
        <v>1</v>
      </c>
    </row>
    <row r="29" spans="2:4" x14ac:dyDescent="0.3">
      <c r="B29" s="43" t="s">
        <v>275</v>
      </c>
      <c r="C29" t="s">
        <v>275</v>
      </c>
      <c r="D29" t="b">
        <f t="shared" si="0"/>
        <v>1</v>
      </c>
    </row>
    <row r="30" spans="2:4" x14ac:dyDescent="0.3">
      <c r="B30" s="43" t="s">
        <v>277</v>
      </c>
      <c r="C30" t="s">
        <v>277</v>
      </c>
      <c r="D30" t="b">
        <f t="shared" si="0"/>
        <v>1</v>
      </c>
    </row>
    <row r="31" spans="2:4" x14ac:dyDescent="0.3">
      <c r="B31" s="43" t="s">
        <v>279</v>
      </c>
      <c r="C31" t="s">
        <v>279</v>
      </c>
      <c r="D31" t="b">
        <f t="shared" si="0"/>
        <v>1</v>
      </c>
    </row>
    <row r="32" spans="2:4" x14ac:dyDescent="0.3">
      <c r="B32" s="43" t="s">
        <v>281</v>
      </c>
      <c r="C32" t="s">
        <v>281</v>
      </c>
      <c r="D32" t="b">
        <f t="shared" si="0"/>
        <v>1</v>
      </c>
    </row>
    <row r="33" spans="2:4" x14ac:dyDescent="0.3">
      <c r="B33" s="43" t="s">
        <v>284</v>
      </c>
      <c r="C33" t="s">
        <v>284</v>
      </c>
      <c r="D33" t="b">
        <f t="shared" si="0"/>
        <v>1</v>
      </c>
    </row>
    <row r="34" spans="2:4" x14ac:dyDescent="0.3">
      <c r="B34" s="43" t="s">
        <v>286</v>
      </c>
      <c r="C34" t="s">
        <v>286</v>
      </c>
      <c r="D34" t="b">
        <f t="shared" si="0"/>
        <v>1</v>
      </c>
    </row>
    <row r="35" spans="2:4" x14ac:dyDescent="0.3">
      <c r="B35" s="43" t="s">
        <v>288</v>
      </c>
      <c r="C35" t="s">
        <v>288</v>
      </c>
      <c r="D35" t="b">
        <f t="shared" si="0"/>
        <v>1</v>
      </c>
    </row>
    <row r="36" spans="2:4" x14ac:dyDescent="0.3">
      <c r="B36" s="43" t="s">
        <v>290</v>
      </c>
      <c r="C36" t="s">
        <v>290</v>
      </c>
      <c r="D36" t="b">
        <f t="shared" si="0"/>
        <v>1</v>
      </c>
    </row>
    <row r="37" spans="2:4" x14ac:dyDescent="0.3">
      <c r="B37" s="43" t="s">
        <v>292</v>
      </c>
      <c r="C37" t="s">
        <v>292</v>
      </c>
      <c r="D37" t="b">
        <f t="shared" si="0"/>
        <v>1</v>
      </c>
    </row>
    <row r="38" spans="2:4" x14ac:dyDescent="0.3">
      <c r="B38" s="43" t="s">
        <v>294</v>
      </c>
      <c r="C38" t="s">
        <v>294</v>
      </c>
      <c r="D38" t="b">
        <f t="shared" si="0"/>
        <v>1</v>
      </c>
    </row>
    <row r="39" spans="2:4" x14ac:dyDescent="0.3">
      <c r="B39" s="43" t="s">
        <v>296</v>
      </c>
      <c r="C39" t="s">
        <v>296</v>
      </c>
      <c r="D39" t="b">
        <f t="shared" si="0"/>
        <v>1</v>
      </c>
    </row>
    <row r="40" spans="2:4" x14ac:dyDescent="0.3">
      <c r="B40" s="43" t="s">
        <v>298</v>
      </c>
      <c r="C40" t="s">
        <v>298</v>
      </c>
      <c r="D40" t="b">
        <f t="shared" si="0"/>
        <v>1</v>
      </c>
    </row>
    <row r="41" spans="2:4" x14ac:dyDescent="0.3">
      <c r="B41" s="43" t="s">
        <v>300</v>
      </c>
      <c r="C41" t="s">
        <v>300</v>
      </c>
      <c r="D41" t="b">
        <f t="shared" si="0"/>
        <v>1</v>
      </c>
    </row>
    <row r="42" spans="2:4" x14ac:dyDescent="0.3">
      <c r="B42" s="43" t="s">
        <v>302</v>
      </c>
      <c r="C42" t="s">
        <v>302</v>
      </c>
      <c r="D42" t="b">
        <f t="shared" si="0"/>
        <v>1</v>
      </c>
    </row>
    <row r="43" spans="2:4" x14ac:dyDescent="0.3">
      <c r="B43" s="43" t="s">
        <v>304</v>
      </c>
      <c r="C43" t="s">
        <v>304</v>
      </c>
      <c r="D43" t="b">
        <f t="shared" si="0"/>
        <v>1</v>
      </c>
    </row>
    <row r="44" spans="2:4" x14ac:dyDescent="0.3">
      <c r="B44" s="43" t="s">
        <v>306</v>
      </c>
      <c r="C44" t="s">
        <v>306</v>
      </c>
      <c r="D44" t="b">
        <f t="shared" si="0"/>
        <v>1</v>
      </c>
    </row>
    <row r="45" spans="2:4" x14ac:dyDescent="0.3">
      <c r="B45" s="43" t="s">
        <v>308</v>
      </c>
      <c r="C45" t="s">
        <v>308</v>
      </c>
      <c r="D45" t="b">
        <f t="shared" si="0"/>
        <v>1</v>
      </c>
    </row>
    <row r="46" spans="2:4" x14ac:dyDescent="0.3">
      <c r="B46" s="43" t="s">
        <v>310</v>
      </c>
      <c r="C46" t="s">
        <v>310</v>
      </c>
      <c r="D46" t="b">
        <f t="shared" si="0"/>
        <v>1</v>
      </c>
    </row>
    <row r="47" spans="2:4" x14ac:dyDescent="0.3">
      <c r="B47" s="43" t="s">
        <v>312</v>
      </c>
      <c r="C47" t="s">
        <v>312</v>
      </c>
      <c r="D47" t="b">
        <f t="shared" si="0"/>
        <v>1</v>
      </c>
    </row>
    <row r="48" spans="2:4" x14ac:dyDescent="0.3">
      <c r="B48" s="43" t="s">
        <v>314</v>
      </c>
      <c r="C48" t="s">
        <v>314</v>
      </c>
      <c r="D48" t="b">
        <f t="shared" si="0"/>
        <v>1</v>
      </c>
    </row>
    <row r="49" spans="2:4" x14ac:dyDescent="0.3">
      <c r="B49" s="43" t="s">
        <v>316</v>
      </c>
      <c r="C49" t="s">
        <v>316</v>
      </c>
      <c r="D49" t="b">
        <f t="shared" si="0"/>
        <v>1</v>
      </c>
    </row>
    <row r="50" spans="2:4" x14ac:dyDescent="0.3">
      <c r="B50" s="70" t="s">
        <v>318</v>
      </c>
      <c r="C50" t="s">
        <v>318</v>
      </c>
      <c r="D50" t="b">
        <f t="shared" si="0"/>
        <v>1</v>
      </c>
    </row>
    <row r="51" spans="2:4" x14ac:dyDescent="0.3">
      <c r="B51" s="70" t="s">
        <v>371</v>
      </c>
      <c r="C51" t="s">
        <v>370</v>
      </c>
      <c r="D51" t="b">
        <f t="shared" si="0"/>
        <v>1</v>
      </c>
    </row>
    <row r="52" spans="2:4" x14ac:dyDescent="0.3">
      <c r="B52" s="70" t="s">
        <v>323</v>
      </c>
      <c r="C52" t="s">
        <v>323</v>
      </c>
      <c r="D52" t="b">
        <f t="shared" si="0"/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www.w3.org/XML/1998/namespace"/>
    <ds:schemaRef ds:uri="http://purl.org/dc/terms/"/>
    <ds:schemaRef ds:uri="http://schemas.microsoft.com/office/2006/metadata/properties"/>
    <ds:schemaRef ds:uri="efe72180-9972-4f46-9c03-3d142a8e36e2"/>
    <ds:schemaRef ds:uri="546aa48d-480f-4c7b-808b-798d1e0b2ccb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변경이력관리</vt:lpstr>
      <vt:lpstr>Code</vt:lpstr>
      <vt:lpstr>IF_SRD_DPS_ERP_0119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2022-11-15T02:32:01Z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